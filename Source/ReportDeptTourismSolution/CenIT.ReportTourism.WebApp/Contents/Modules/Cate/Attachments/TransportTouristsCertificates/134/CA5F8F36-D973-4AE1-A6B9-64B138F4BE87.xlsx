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mc:AlternateContent xmlns:mc="http://schemas.openxmlformats.org/markup-compatibility/2006">
    <mc:Choice Requires="x15">
      <x15ac:absPath xmlns:x15ac="http://schemas.microsoft.com/office/spreadsheetml/2010/11/ac" url="C:\Users\Trung LC\Downloads\Telegram Desktop\"/>
    </mc:Choice>
  </mc:AlternateContent>
  <xr:revisionPtr revIDLastSave="0" documentId="13_ncr:1_{5945D03C-667D-4A53-85B2-7A0726C6591F}" xr6:coauthVersionLast="46" xr6:coauthVersionMax="46" xr10:uidLastSave="{00000000-0000-0000-0000-000000000000}"/>
  <bookViews>
    <workbookView xWindow="-120" yWindow="-120" windowWidth="29040" windowHeight="15840" tabRatio="649" activeTab="3" xr2:uid="{00000000-000D-0000-FFFF-FFFF00000000}"/>
  </bookViews>
  <sheets>
    <sheet name="TongHopDuToan" sheetId="12" r:id="rId1"/>
    <sheet name="3.Tổng hợp chi phí phần mềm" sheetId="2" r:id="rId2"/>
    <sheet name="G.Giá trị phần mềm" sheetId="3" r:id="rId3"/>
    <sheet name="USE-CASE" sheetId="4" r:id="rId4"/>
    <sheet name="TBF.Điểm USE-CASE" sheetId="5" r:id="rId5"/>
    <sheet name="TAW.Điểm các tác nhân (actors)" sheetId="6" r:id="rId6"/>
    <sheet name="TCF.Hệ số phức tạp KT-CN" sheetId="7" r:id="rId7"/>
    <sheet name="EFW.Hệ số tác động môi trường" sheetId="8" r:id="rId8"/>
    <sheet name="Bảng lương nhân công" sheetId="11" r:id="rId9"/>
    <sheet name="CHI PHÍ NHÂN CÔNG" sheetId="9" state="hidden" r:id="rId10"/>
    <sheet name="CHI PHI NHAN CONG THEO VNPT" sheetId="10" state="hidden" r:id="rId11"/>
  </sheets>
  <definedNames>
    <definedName name="_Hlk213525272_1" localSheetId="0">#REF!</definedName>
    <definedName name="_Hlk213525272_1">#REF!</definedName>
    <definedName name="df" localSheetId="0">#REF!</definedName>
    <definedName name="df">#REF!</definedName>
    <definedName name="ff">#REF!</definedName>
    <definedName name="GTB">#REF!</definedName>
    <definedName name="GXD">#REF!</definedName>
    <definedName name="H">#REF!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 i="12" l="1"/>
  <c r="G18" i="12"/>
  <c r="J31" i="11" l="1"/>
  <c r="H31" i="11"/>
  <c r="K20" i="11"/>
  <c r="K21" i="11" s="1"/>
  <c r="K22" i="11" s="1"/>
  <c r="K4" i="11" s="1"/>
  <c r="K6" i="11" s="1"/>
  <c r="J20" i="11"/>
  <c r="J21" i="11" s="1"/>
  <c r="J22" i="11" s="1"/>
  <c r="J4" i="11" s="1"/>
  <c r="J6" i="11" s="1"/>
  <c r="I20" i="11"/>
  <c r="I21" i="11" s="1"/>
  <c r="I22" i="11" s="1"/>
  <c r="I4" i="11" s="1"/>
  <c r="I6" i="11" s="1"/>
  <c r="H20" i="11"/>
  <c r="H21" i="11" s="1"/>
  <c r="H22" i="11" s="1"/>
  <c r="H4" i="11" s="1"/>
  <c r="H6" i="11" s="1"/>
  <c r="G20" i="11"/>
  <c r="G21" i="11" s="1"/>
  <c r="G22" i="11" s="1"/>
  <c r="G4" i="11" s="1"/>
  <c r="G6" i="11" s="1"/>
  <c r="F20" i="11"/>
  <c r="F21" i="11" s="1"/>
  <c r="F22" i="11" s="1"/>
  <c r="F4" i="11" s="1"/>
  <c r="F6" i="11" s="1"/>
  <c r="E20" i="11"/>
  <c r="E21" i="11" s="1"/>
  <c r="E22" i="11" s="1"/>
  <c r="E4" i="11" s="1"/>
  <c r="E6" i="11" s="1"/>
  <c r="E8" i="11" l="1"/>
  <c r="E7" i="11"/>
  <c r="K8" i="11"/>
  <c r="K7" i="11"/>
  <c r="K9" i="11" s="1"/>
  <c r="K10" i="11" s="1"/>
  <c r="K11" i="11" s="1"/>
  <c r="F8" i="11"/>
  <c r="F7" i="11"/>
  <c r="G8" i="11"/>
  <c r="G7" i="11"/>
  <c r="H8" i="11"/>
  <c r="H7" i="11"/>
  <c r="I8" i="11"/>
  <c r="I7" i="11"/>
  <c r="I9" i="11" s="1"/>
  <c r="I10" i="11" s="1"/>
  <c r="I11" i="11" s="1"/>
  <c r="J7" i="11"/>
  <c r="J8" i="11"/>
  <c r="J9" i="11" l="1"/>
  <c r="J10" i="11" s="1"/>
  <c r="J11" i="11" s="1"/>
  <c r="E9" i="11"/>
  <c r="E10" i="11" s="1"/>
  <c r="E11" i="11" s="1"/>
  <c r="F9" i="11"/>
  <c r="F10" i="11" s="1"/>
  <c r="F11" i="11" s="1"/>
  <c r="H9" i="11"/>
  <c r="H10" i="11" s="1"/>
  <c r="H11" i="11" s="1"/>
  <c r="G9" i="11"/>
  <c r="G10" i="11" s="1"/>
  <c r="G11" i="11" s="1"/>
  <c r="F19" i="3" s="1"/>
  <c r="D48" i="4"/>
  <c r="D46" i="4"/>
  <c r="D50" i="4"/>
  <c r="D47" i="4"/>
  <c r="C23" i="10" l="1"/>
  <c r="C22" i="10"/>
  <c r="C21" i="10"/>
  <c r="C20" i="10"/>
  <c r="C19" i="10"/>
  <c r="C18" i="10"/>
  <c r="C16" i="10"/>
  <c r="C17" i="10" s="1"/>
  <c r="H21" i="8"/>
  <c r="F18" i="8"/>
  <c r="H18" i="8" s="1"/>
  <c r="F17" i="8"/>
  <c r="H17" i="8" s="1"/>
  <c r="F16" i="8"/>
  <c r="H16" i="8" s="1"/>
  <c r="F14" i="8"/>
  <c r="H14" i="8" s="1"/>
  <c r="F13" i="8"/>
  <c r="H13" i="8" s="1"/>
  <c r="F12" i="8"/>
  <c r="H12" i="8" s="1"/>
  <c r="F11" i="8"/>
  <c r="H11" i="8" s="1"/>
  <c r="A6" i="8"/>
  <c r="A2" i="8"/>
  <c r="A1" i="8"/>
  <c r="F22" i="7"/>
  <c r="F21" i="7"/>
  <c r="F20" i="7"/>
  <c r="F19" i="7"/>
  <c r="F18" i="7"/>
  <c r="F17" i="7"/>
  <c r="F16" i="7"/>
  <c r="F15" i="7"/>
  <c r="F14" i="7"/>
  <c r="F13" i="7"/>
  <c r="F12" i="7"/>
  <c r="F11" i="7"/>
  <c r="F10" i="7"/>
  <c r="A6" i="7"/>
  <c r="A2" i="7"/>
  <c r="A1" i="7"/>
  <c r="F11" i="6"/>
  <c r="F10" i="6"/>
  <c r="F9" i="6"/>
  <c r="A6" i="6"/>
  <c r="A2" i="6"/>
  <c r="A1" i="6"/>
  <c r="A6" i="5"/>
  <c r="A2" i="5"/>
  <c r="A1" i="5"/>
  <c r="D56" i="4"/>
  <c r="C20" i="5" s="1"/>
  <c r="F20" i="5" s="1"/>
  <c r="D55" i="4"/>
  <c r="C19" i="5" s="1"/>
  <c r="F19" i="5" s="1"/>
  <c r="D54" i="4"/>
  <c r="C18" i="5" s="1"/>
  <c r="F18" i="5" s="1"/>
  <c r="D52" i="4"/>
  <c r="C16" i="5" s="1"/>
  <c r="F16" i="5" s="1"/>
  <c r="D51" i="4"/>
  <c r="C15" i="5" s="1"/>
  <c r="F15" i="5" s="1"/>
  <c r="C14" i="5"/>
  <c r="F14" i="5" s="1"/>
  <c r="C12" i="5"/>
  <c r="F12" i="5" s="1"/>
  <c r="C11" i="5"/>
  <c r="F11" i="5" s="1"/>
  <c r="C10" i="5"/>
  <c r="A6" i="4"/>
  <c r="A2" i="4"/>
  <c r="A1" i="4"/>
  <c r="F17" i="3"/>
  <c r="A6" i="3"/>
  <c r="A2" i="3"/>
  <c r="A1" i="3"/>
  <c r="F9" i="7" l="1"/>
  <c r="F23" i="7" s="1"/>
  <c r="F14" i="3" s="1"/>
  <c r="C9" i="10"/>
  <c r="C10" i="10" s="1"/>
  <c r="C11" i="10" s="1"/>
  <c r="F12" i="6"/>
  <c r="F11" i="3" s="1"/>
  <c r="C21" i="5"/>
  <c r="F10" i="5"/>
  <c r="F21" i="5" s="1"/>
  <c r="F12" i="3" s="1"/>
  <c r="D57" i="4"/>
  <c r="F9" i="8"/>
  <c r="F13" i="3" l="1"/>
  <c r="H19" i="8"/>
  <c r="F15" i="3"/>
  <c r="F16" i="3" l="1"/>
  <c r="F18" i="3" s="1"/>
  <c r="F20" i="3" s="1"/>
  <c r="E10" i="2" s="1"/>
  <c r="E11" i="2" s="1"/>
  <c r="E12" i="2" s="1"/>
  <c r="E13" i="2" s="1"/>
  <c r="E7" i="12" s="1"/>
  <c r="G7" i="12" l="1"/>
  <c r="E6" i="12"/>
  <c r="E16" i="12" s="1"/>
  <c r="F16" i="12" l="1"/>
  <c r="G16" i="12" s="1"/>
  <c r="E11" i="12"/>
  <c r="E9" i="12"/>
  <c r="F9" i="12" s="1"/>
  <c r="G6" i="12"/>
  <c r="E15" i="12"/>
  <c r="F15" i="12" s="1"/>
  <c r="G15" i="12" s="1"/>
  <c r="E12" i="12"/>
  <c r="E14" i="12"/>
  <c r="F12" i="12" l="1"/>
  <c r="G12" i="12" s="1"/>
  <c r="E10" i="12"/>
  <c r="F11" i="12"/>
  <c r="G11" i="12" s="1"/>
  <c r="E13" i="12"/>
  <c r="F14" i="12"/>
  <c r="F13" i="12" s="1"/>
  <c r="G9" i="12"/>
  <c r="G14" i="12" l="1"/>
  <c r="F10" i="12"/>
  <c r="F19" i="12" s="1"/>
  <c r="G13" i="12"/>
  <c r="G10" i="12" l="1"/>
  <c r="G19" i="12" l="1"/>
  <c r="G20"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Pham Truong Phuoc</author>
  </authors>
  <commentList>
    <comment ref="A13" authorId="0" shapeId="0" xr:uid="{9AB116B8-990B-4312-9F0D-D66212CD2820}">
      <text>
        <r>
          <rPr>
            <b/>
            <sz val="9"/>
            <color indexed="81"/>
            <rFont val="Tahoma"/>
            <family val="2"/>
          </rPr>
          <t>Pham Truong Phuoc:</t>
        </r>
        <r>
          <rPr>
            <sz val="9"/>
            <color indexed="81"/>
            <rFont val="Tahoma"/>
            <family val="2"/>
          </rPr>
          <t xml:space="preserve">
Phần này để nghị hỗ trợ KV phần này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10" authorId="0" shapeId="0" xr:uid="{00000000-0006-0000-0000-000001000000}">
      <text>
        <r>
          <rPr>
            <sz val="11"/>
            <color rgb="FF000000"/>
            <rFont val="Calibri"/>
            <family val="2"/>
          </rPr>
          <t>Chi phí lõi bài toán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F20" authorId="0" shapeId="0" xr:uid="{00000000-0006-0000-0100-000001000000}">
      <text>
        <r>
          <rPr>
            <sz val="11"/>
            <color rgb="FF000000"/>
            <rFont val="Calibri"/>
            <family val="2"/>
          </rPr>
          <t>Chi phí lõi</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C9" authorId="0" shapeId="0" xr:uid="{00000000-0006-0000-0400-000001000000}">
      <text>
        <r>
          <rPr>
            <sz val="11"/>
            <color rgb="FF000000"/>
            <rFont val="Calibri"/>
            <family val="2"/>
          </rPr>
          <t>Một máy tính với giao diện lập trình ứng dụng API</t>
        </r>
      </text>
    </comment>
    <comment ref="C10" authorId="0" shapeId="0" xr:uid="{00000000-0006-0000-0400-000002000000}">
      <text>
        <r>
          <rPr>
            <sz val="11"/>
            <color rgb="FF000000"/>
            <rFont val="Calibri"/>
            <family val="2"/>
          </rPr>
          <t>Hoặc là giao diện người - máy qua “command line” hoặc thông qua một giao thức nào đó nhưng không có lập trình qua API.</t>
        </r>
      </text>
    </comment>
    <comment ref="C11" authorId="0" shapeId="0" xr:uid="{00000000-0006-0000-0400-000003000000}">
      <text>
        <r>
          <rPr>
            <sz val="11"/>
            <color rgb="FF000000"/>
            <rFont val="Calibri"/>
            <family val="2"/>
          </rPr>
          <t>giao diện người - máy qua GUI (giao diện đồ hoạ).</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D8" authorId="0" shapeId="0" xr:uid="{00000000-0006-0000-0500-000001000000}">
      <text>
        <r>
          <rPr>
            <sz val="11"/>
            <color rgb="FF000000"/>
            <rFont val="Calibri"/>
            <family val="2"/>
          </rPr>
          <t xml:space="preserve"> Giá trị xếp hạng được xác định trong khoảng từ 0 đến 5 với ý nghĩa:
0 = Không quan trọng;
5 = Có vai trò tác động căn bản;</t>
        </r>
      </text>
    </comment>
    <comment ref="B10" authorId="0" shapeId="0" xr:uid="{00000000-0006-0000-0500-000002000000}">
      <text>
        <r>
          <rPr>
            <sz val="11"/>
            <color rgb="FF000000"/>
            <rFont val="Calibri"/>
            <family val="2"/>
          </rPr>
          <t>Kiến trúc của hệ thống là tập trung hay phân tán? Hệ thống được thiết kế theo mô hình nhiều lớp hay không? Trọng số càng cao tương ứng với hệ thống càng phức tạp.</t>
        </r>
      </text>
    </comment>
    <comment ref="B11" authorId="0" shapeId="0" xr:uid="{00000000-0006-0000-0500-000003000000}">
      <text>
        <r>
          <rPr>
            <sz val="11"/>
            <color rgb="FF000000"/>
            <rFont val="Calibri"/>
            <family val="2"/>
          </rPr>
          <t>Thời gian đáp ứng yêu cầu của người sử dụng là nhanh hay chậm? Ví dụ, máy tìm kiếm được đánh trọng số về thời gian đáp ứng yêu cầu cao hơn hệ thống cập nhật tin tức hàng ngày. Trọng số càng cao tương ứng với yêu cầu đáp ứng càng nhanh.</t>
        </r>
      </text>
    </comment>
    <comment ref="B12" authorId="0" shapeId="0" xr:uid="{00000000-0006-0000-0500-000004000000}">
      <text>
        <r>
          <rPr>
            <sz val="11"/>
            <color rgb="FF000000"/>
            <rFont val="Calibri"/>
            <family val="2"/>
          </rPr>
          <t>Hệ thống có được thiết kế hướng tới tăng hiệu quả làm việc của người sử dụng hay không? Trọng số càng cao tương ứng với hệ thống đòi hỏi hiệu quả sử dụng càng cao.</t>
        </r>
      </text>
    </comment>
    <comment ref="B13" authorId="0" shapeId="0" xr:uid="{00000000-0006-0000-0500-000005000000}">
      <text>
        <r>
          <rPr>
            <sz val="11"/>
            <color rgb="FF000000"/>
            <rFont val="Calibri"/>
            <family val="2"/>
          </rPr>
          <t>Hệ thống có sử dụng những thuật toán phức tạp trong xử lý hay không? Hoặc hệ thống được thiết kế để hỗ trợ những quy trình nghiệp vụ phức tạp hay không? Trọng số càng cao tương ứng với hệ thống đòi hỏi các thuật toán xử lý càng phức tạp.</t>
        </r>
      </text>
    </comment>
    <comment ref="B14" authorId="0" shapeId="0" xr:uid="{00000000-0006-0000-0500-000006000000}">
      <text>
        <r>
          <rPr>
            <sz val="11"/>
            <color rgb="FF000000"/>
            <rFont val="Calibri"/>
            <family val="2"/>
          </rPr>
          <t>Có yêu cầu phải thiết kế và viết mã theo quy chuẩn để sau đó có thể tái sử dụng hay không? Sử dụng mã nguồn có thể tài sử dụng không những làm giảm thời gian triển khai một dự án còn làm tối ưu thời gian xác định lỗi của một phần mềm. Ví dụ, các chức năng sử dụng thư viện chia sẻ có thể tài sử dụng nhiều lần trong các dự án khác nhau. Trọng số càng cao tương ứng với mức độ yêu cầu về khả năng tái sử dụng mã nguồn càng cao.</t>
        </r>
      </text>
    </comment>
    <comment ref="B15" authorId="0" shapeId="0" xr:uid="{00000000-0006-0000-0500-000007000000}">
      <text>
        <r>
          <rPr>
            <sz val="11"/>
            <color rgb="FF000000"/>
            <rFont val="Calibri"/>
            <family val="2"/>
          </rPr>
          <t>Hệ thống có đòi hỏi những thủ tục cài đặt phức tạp hay không? Người sử dụng thông thường có thể tự cài đặt các thành phần của hệ thống phục vụ công việc hay không? Việc cập nhật các bản vá lỗi phần mềm có dễ dàng hay không? Trọng số càng cao tương ứng với mức độ yêu cầu về cài đặt càng dễ dàng.</t>
        </r>
      </text>
    </comment>
    <comment ref="B16" authorId="0" shapeId="0" xr:uid="{00000000-0006-0000-0500-000008000000}">
      <text>
        <r>
          <rPr>
            <sz val="11"/>
            <color rgb="FF000000"/>
            <rFont val="Calibri"/>
            <family val="2"/>
          </rPr>
          <t>Hệ thống có dễ sử dụng hay không? Người sử dụng có dễ dàng tiếp cận đối với các tính năng mà hệ thống cung cấp hay không? Tài liệu hướng dẫn sử dụng có dễ dàng tiếp cận hay không? Trọng số càng cao tương ứng với mức độ yêu cầu về sử dụng càng dễ dàng.</t>
        </r>
      </text>
    </comment>
    <comment ref="B17" authorId="0" shapeId="0" xr:uid="{00000000-0006-0000-0500-000009000000}">
      <text>
        <r>
          <rPr>
            <sz val="11"/>
            <color rgb="FF000000"/>
            <rFont val="Calibri"/>
            <family val="2"/>
          </rPr>
          <t>Hệ thống có được thiết kế để có thể chạy trên nhiều nền tảng phần cứng hoặc hệ điều hành khác nhau hay không? Ví dụ các trình duyệt web thường được yêu cầu chạy trên nhiều thiết bị khác nhau, như máy tính cá nhân hay điện thoại, và nhiều hệ điều hành khác nhau, như Windows hay Linux. Trọng số càng cao tương ứng với càng nhiều nền tảng được yêu cầu hỗ trợ.</t>
        </r>
      </text>
    </comment>
    <comment ref="B18" authorId="0" shapeId="0" xr:uid="{00000000-0006-0000-0500-00000A000000}">
      <text>
        <r>
          <rPr>
            <sz val="11"/>
            <color rgb="FF000000"/>
            <rFont val="Calibri"/>
            <family val="2"/>
          </rPr>
          <t>Hệ thống có được yêu cầu thiết kế có khả năng chỉnh sửa và thay đổi trong tương lai hay không? Trọng số càng cao tương ứng với càng nhiều yêu cầu về thay đổi/chỉnh sửa trong tương lai.</t>
        </r>
      </text>
    </comment>
    <comment ref="B19" authorId="0" shapeId="0" xr:uid="{00000000-0006-0000-0500-00000B000000}">
      <text>
        <r>
          <rPr>
            <sz val="11"/>
            <color rgb="FF000000"/>
            <rFont val="Calibri"/>
            <family val="2"/>
          </rPr>
          <t>Hệ thống có được thiết kế để hỗ trợ nhiều người sử dụng tại cùng một thời điểm hay không? Trọng số càng cao tương ứng với mức độ yêu cầu sử dụng đồng thời càng cao.</t>
        </r>
      </text>
    </comment>
    <comment ref="B20" authorId="0" shapeId="0" xr:uid="{00000000-0006-0000-0500-00000C000000}">
      <text>
        <r>
          <rPr>
            <sz val="11"/>
            <color rgb="FF000000"/>
            <rFont val="Calibri"/>
            <family val="2"/>
          </rPr>
          <t>Hệ thống có được thiết kế những tính năng bảo mật đặc biệt, sử dụng những phương thức bảo mật phức tạp hoặc tự phát triển đoạn mã phục vụ việc bảo mật hay không? Trọng số càng cao tương ứng với mức độ yêu cầu về tính năng bảo mật (cả về số lượng và chất lượng).</t>
        </r>
      </text>
    </comment>
    <comment ref="B21" authorId="0" shapeId="0" xr:uid="{00000000-0006-0000-0500-00000D000000}">
      <text>
        <r>
          <rPr>
            <sz val="11"/>
            <color rgb="FF000000"/>
            <rFont val="Calibri"/>
            <family val="2"/>
          </rPr>
          <t>Hệ thống có thể truy cập tới dịch vụ hoặc các giao diện lập trình ứng dụng của các ứng dụng do các nhà phát triển khác thực hiện hay không? Trọng số càng cao tương ứng với khối lượng mã nguồn sử dụng từ các nhà phát triển khác càng lớn (và yêu cầu về độ tin cậy đối với mã nguồn đó càng cao).</t>
        </r>
      </text>
    </comment>
    <comment ref="B22" authorId="0" shapeId="0" xr:uid="{00000000-0006-0000-0500-00000E000000}">
      <text>
        <r>
          <rPr>
            <sz val="11"/>
            <color rgb="FF000000"/>
            <rFont val="Calibri"/>
            <family val="2"/>
          </rPr>
          <t>Để triển khai hệ thống, có cần việc đào tạo người sử dụng hay không? Việc đào tạo người sử dụng có cần phải sử dụng các công cụ, phương tiện đặc biệt để đào tạo người sử dụng hay không? Trọng số càng cao tương ứng với mức độ yêu cầu đào tạo người sử dụng càng cao.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11" authorId="0" shapeId="0" xr:uid="{00000000-0006-0000-0600-000001000000}">
      <text>
        <r>
          <rPr>
            <sz val="11"/>
            <color rgb="FF000000"/>
            <rFont val="Calibri"/>
            <family val="2"/>
          </rPr>
          <t>Người phát triển đã từng phát triển những ứng dụng cho các tổ chức mô hình nghiệp vụ tương tự, sử dụng công nghệ tương tự hay chưa?</t>
        </r>
      </text>
    </comment>
    <comment ref="B12" authorId="0" shapeId="0" xr:uid="{00000000-0006-0000-0600-000002000000}">
      <text>
        <r>
          <rPr>
            <sz val="11"/>
            <color rgb="FF000000"/>
            <rFont val="Calibri"/>
            <family val="2"/>
          </rPr>
          <t>Người phát triển có hiểu biết về công nghệ hướng đối tượng hay không? Hoặc có sử dụng thành thạo các công cụ phát triển hướng đối tượng hay không?</t>
        </r>
      </text>
    </comment>
    <comment ref="B13" authorId="0" shapeId="0" xr:uid="{00000000-0006-0000-0600-000003000000}">
      <text>
        <r>
          <rPr>
            <sz val="11"/>
            <color rgb="FF000000"/>
            <rFont val="Calibri"/>
            <family val="2"/>
          </rPr>
          <t>Người đứng đầu của nhóm phát triển có khả năng tổ chức, quản lý và triển khai nhiệm vụ trong nhóm phát triển tốt hay không? Người đứng đầu nhóm phát triển có kinh nghiệm lãnh đạo nhóm trong nhiều dự án hay chưa?</t>
        </r>
      </text>
    </comment>
    <comment ref="B14" authorId="0" shapeId="0" xr:uid="{00000000-0006-0000-0600-000004000000}">
      <text>
        <r>
          <rPr>
            <sz val="11"/>
            <color rgb="FF000000"/>
            <rFont val="Calibri"/>
            <family val="2"/>
          </rPr>
          <t>Tốc độ giải quyết vấn đề từ lúc tiếp cận bài toán cần giải quyết là nhanh hay chậm?</t>
        </r>
      </text>
    </comment>
    <comment ref="B16" authorId="0" shapeId="0" xr:uid="{00000000-0006-0000-0600-000005000000}">
      <text>
        <r>
          <rPr>
            <sz val="11"/>
            <color rgb="FF000000"/>
            <rFont val="Calibri"/>
            <family val="2"/>
          </rPr>
          <t>Việc xác định yêu cầu phần mềm có thuận lợi hay không? Các yêu cầu là rõ ràng hay bất định? Có thường xuyên phải chỉnh sửa lại tài liệu đặc tả yêu cầu phần mềm hay không?</t>
        </r>
      </text>
    </comment>
    <comment ref="B17" authorId="0" shapeId="0" xr:uid="{00000000-0006-0000-0600-000006000000}">
      <text>
        <r>
          <rPr>
            <sz val="11"/>
            <color rgb="FF000000"/>
            <rFont val="Calibri"/>
            <family val="2"/>
          </rPr>
          <t>Nhóm phát triển có sử dụng nhân viên làm bán thời gian hoặc kiêm nhiệm hay không?</t>
        </r>
      </text>
    </comment>
    <comment ref="B18" authorId="0" shapeId="0" xr:uid="{00000000-0006-0000-0600-000007000000}">
      <text>
        <r>
          <rPr>
            <sz val="11"/>
            <color rgb="FF000000"/>
            <rFont val="Calibri"/>
            <family val="2"/>
          </rPr>
          <t>Nhóm phát triển sử dụng công cụ phát triển đã quen thuộc hay hoàn toàn mới. Nhóm phát triển có cần phải tham gia các khóa học bổ sung để nâng cao kỹ năng sử dụng công cụ phát triển hay không?</t>
        </r>
      </text>
    </comment>
  </commentList>
</comments>
</file>

<file path=xl/sharedStrings.xml><?xml version="1.0" encoding="utf-8"?>
<sst xmlns="http://schemas.openxmlformats.org/spreadsheetml/2006/main" count="607" uniqueCount="390">
  <si>
    <t>TẬP ĐOÀN BƯU CHÍNH VIỄN THÔNG VIỆT NAM</t>
  </si>
  <si>
    <t xml:space="preserve">     CÔNG TY ĐIỆN TOÁN VÀ TRUYỀN SỐ LIỆU</t>
  </si>
  <si>
    <t>Stt</t>
  </si>
  <si>
    <t>Khoản mục chi phí</t>
  </si>
  <si>
    <t>Ký hiệu</t>
  </si>
  <si>
    <t>Diễn giải cách tính</t>
  </si>
  <si>
    <t>I</t>
  </si>
  <si>
    <t>II</t>
  </si>
  <si>
    <t>Chi phí chung</t>
  </si>
  <si>
    <t>III</t>
  </si>
  <si>
    <t>Thu nhập chịu thuế tính trước</t>
  </si>
  <si>
    <t>IV</t>
  </si>
  <si>
    <t>VIỄN THÔNG KHÁNH HÒA</t>
  </si>
  <si>
    <t>TRUNG TÂM CÔNG NGHỆ THÔNG TIN</t>
  </si>
  <si>
    <t>TỔNG HỢP CHI PHÍ PHẦN MỀM</t>
  </si>
  <si>
    <t>Đơn vị tính: đồng</t>
  </si>
  <si>
    <t>TT</t>
  </si>
  <si>
    <t>Cách tính</t>
  </si>
  <si>
    <t>Giá trị</t>
  </si>
  <si>
    <t>Ghi chú</t>
  </si>
  <si>
    <t>Giá trị phần mềm</t>
  </si>
  <si>
    <t>G</t>
  </si>
  <si>
    <t>1,4 x E x P x H</t>
  </si>
  <si>
    <r>
      <t xml:space="preserve">Tham khảo sheet </t>
    </r>
    <r>
      <rPr>
        <b/>
        <sz val="12"/>
        <color rgb="FF000000"/>
        <rFont val="Times New Roman"/>
        <family val="1"/>
      </rPr>
      <t>G.Giá trị phần mềm</t>
    </r>
  </si>
  <si>
    <t>C</t>
  </si>
  <si>
    <t>G x 65%</t>
  </si>
  <si>
    <r>
      <t xml:space="preserve">Theo hướng dẫn </t>
    </r>
    <r>
      <rPr>
        <b/>
        <sz val="12"/>
        <color rgb="FF000000"/>
        <rFont val="Times New Roman"/>
        <family val="1"/>
      </rPr>
      <t>2589/BTTTT-ƯDCNTT</t>
    </r>
  </si>
  <si>
    <t>TL</t>
  </si>
  <si>
    <t>(G+C) x 6%</t>
  </si>
  <si>
    <t>Chi phí sản xuất phần mềm</t>
  </si>
  <si>
    <t>Gsx</t>
  </si>
  <si>
    <t>G + C + TL</t>
  </si>
  <si>
    <t>BẢNG TÍNH TOÁN GIÁ TRỊ PHẦN MỀM</t>
  </si>
  <si>
    <t>STT</t>
  </si>
  <si>
    <t>Hạng mục</t>
  </si>
  <si>
    <t>ĐVT</t>
  </si>
  <si>
    <t>Diễn giải</t>
  </si>
  <si>
    <t>Tính điểm trường hợp sử dụng (Use-case)</t>
  </si>
  <si>
    <t>- Điểm Actor (TAW)</t>
  </si>
  <si>
    <t>TAW</t>
  </si>
  <si>
    <t>Điểm</t>
  </si>
  <si>
    <r>
      <t xml:space="preserve">Tham khảo sheet </t>
    </r>
    <r>
      <rPr>
        <b/>
        <sz val="12"/>
        <color rgb="FF000000"/>
        <rFont val="Times New Roman"/>
        <family val="1"/>
      </rPr>
      <t>TAW.Điểm các tác nhân (actors)</t>
    </r>
  </si>
  <si>
    <t>- Điểm Use case (TBF)</t>
  </si>
  <si>
    <t>TBF</t>
  </si>
  <si>
    <r>
      <t xml:space="preserve">Tham khảo sheet </t>
    </r>
    <r>
      <rPr>
        <b/>
        <sz val="12"/>
        <color rgb="FF000000"/>
        <rFont val="Times New Roman"/>
        <family val="1"/>
      </rPr>
      <t>TBF.Điểm USE-CASE</t>
    </r>
  </si>
  <si>
    <t>- Tính điểm UUCP</t>
  </si>
  <si>
    <t>UUCP</t>
  </si>
  <si>
    <t>UUCP = TAW + TBF</t>
  </si>
  <si>
    <t>- Điểm hệ số phức tạp kỹ thuật công nghệ (TCF)</t>
  </si>
  <si>
    <t>TCF</t>
  </si>
  <si>
    <t>TCF = 0,6 + (0,01*TFW)</t>
  </si>
  <si>
    <r>
      <t xml:space="preserve">Tham khảo sheet </t>
    </r>
    <r>
      <rPr>
        <b/>
        <sz val="12"/>
        <color rgb="FF000000"/>
        <rFont val="Times New Roman"/>
        <family val="1"/>
      </rPr>
      <t>TCF.Hệ số phức tạp KT-CN</t>
    </r>
  </si>
  <si>
    <t>- Điểm hệ số phức tạp môi trường (EF)</t>
  </si>
  <si>
    <t>EF</t>
  </si>
  <si>
    <t>EF = 1,4 + (-0,03 * EFW)</t>
  </si>
  <si>
    <r>
      <t xml:space="preserve">Tham khảo sheet </t>
    </r>
    <r>
      <rPr>
        <b/>
        <sz val="12"/>
        <color rgb="FF000000"/>
        <rFont val="Times New Roman"/>
        <family val="1"/>
      </rPr>
      <t>EFW.Hệ số tác động môi trường</t>
    </r>
  </si>
  <si>
    <t>- Tính điểm AUCP</t>
  </si>
  <si>
    <t>AUCP</t>
  </si>
  <si>
    <t>AUCP = UUCP * TCF * EF</t>
  </si>
  <si>
    <t>Nội suy thời gian lao động (P)</t>
  </si>
  <si>
    <t>P</t>
  </si>
  <si>
    <t>P = người/giờ/AUCP</t>
  </si>
  <si>
    <r>
      <t xml:space="preserve">Tham khảo sheet </t>
    </r>
    <r>
      <rPr>
        <b/>
        <sz val="12"/>
        <color rgb="FF000000"/>
        <rFont val="Times New Roman"/>
        <family val="1"/>
      </rPr>
      <t>EFW.Hệ số tác động môi trường</t>
    </r>
  </si>
  <si>
    <t>Giá trị nỗ lực thực tế (E)</t>
  </si>
  <si>
    <t>E</t>
  </si>
  <si>
    <t>E = AUCP*10/6</t>
  </si>
  <si>
    <t>Mức lương lao động bình quân (H)</t>
  </si>
  <si>
    <t>H</t>
  </si>
  <si>
    <t>Đồng</t>
  </si>
  <si>
    <t>H = người/giờ</t>
  </si>
  <si>
    <t>V</t>
  </si>
  <si>
    <t>Giá trị phần mềm nội bộ (G)</t>
  </si>
  <si>
    <t>Đồng </t>
  </si>
  <si>
    <t> G=1,4*E*P*H</t>
  </si>
  <si>
    <t>BẢNG CHUYỂN ĐỔI YÊU CẦU CHỨC NĂNG
SANG TRƯỜNG HỢP SỬ DỤNG (USE-CASE)</t>
  </si>
  <si>
    <t>Tên Use Case</t>
  </si>
  <si>
    <t>Tác nhân chính</t>
  </si>
  <si>
    <t>Tác nhân phụ</t>
  </si>
  <si>
    <t>Mức độ BMT</t>
  </si>
  <si>
    <t>Mô tả trường hợp</t>
  </si>
  <si>
    <t>Phân loại Use Case</t>
  </si>
  <si>
    <t>Quản lý người dùng</t>
  </si>
  <si>
    <t>B</t>
  </si>
  <si>
    <t>Đơn giản</t>
  </si>
  <si>
    <t>Trung bình</t>
  </si>
  <si>
    <t>Phức tạp</t>
  </si>
  <si>
    <t>Tổng Use case :</t>
  </si>
  <si>
    <t>M</t>
  </si>
  <si>
    <t>T</t>
  </si>
  <si>
    <t>Tổng số</t>
  </si>
  <si>
    <t>Số tác nhân chính</t>
  </si>
  <si>
    <t>Số tác nhân phụ</t>
  </si>
  <si>
    <t>BẢNG TÍNH TOÁN ĐIỂM CÁC TRƯỜNG HỢP SỬ DỤNG (USE-CASE)</t>
  </si>
  <si>
    <t>Loại</t>
  </si>
  <si>
    <t>Số trường hợp sử dụng</t>
  </si>
  <si>
    <t>Trọng số</t>
  </si>
  <si>
    <t>Hệ số BMT</t>
  </si>
  <si>
    <t>Điểm của từng loại trường hợp sử dụng</t>
  </si>
  <si>
    <t>Mô tả</t>
  </si>
  <si>
    <t>Các yêu cầu phải thỏa mãn thì phần mềm mới được chấp nhận.
Use-case đơn giản &lt;= 3 transactions hoặc đường chỉ thị.</t>
  </si>
  <si>
    <t>Các chức năng không phải là cốt lõi hay các chức năng phụ trợ hoặc theo yêu cầu của bên đặt hàng.
Use-case trung bình từ 4 đến 7 transactions.</t>
  </si>
  <si>
    <t>Các yêu cầu được tư vấn thêm hoặc đưa ra để bên đặt hàng lựa chọn thêm nếu muốn.
Use-case phức tạp &gt; 7 transactions</t>
  </si>
  <si>
    <t>Cộng (1+2+3)</t>
  </si>
  <si>
    <t> TBF</t>
  </si>
  <si>
    <t>BẢNG TÍNH TOÁN ĐIỂM CÁC TÁC NHÂN (ACTORS) TƯƠNG TÁC, TRAO ĐỔI THÔNG TIN</t>
  </si>
  <si>
    <t>Loại Actor</t>
  </si>
  <si>
    <t>Số tác nhân</t>
  </si>
  <si>
    <t>Điểm của từng loại tác nhân</t>
  </si>
  <si>
    <t>Đơn giản (simple actor)</t>
  </si>
  <si>
    <t>Thuộc loại giao diện của chương trình</t>
  </si>
  <si>
    <t>Trung bình (average actor)</t>
  </si>
  <si>
    <t>Giao diện tương tác hoặc phục vụ một giao thức hoạt động</t>
  </si>
  <si>
    <t>Phức tạp (complex actor)</t>
  </si>
  <si>
    <t>Giao diện đồ họa</t>
  </si>
  <si>
    <t> TAW</t>
  </si>
  <si>
    <t>Actors</t>
  </si>
  <si>
    <t>BẢNG TÍNH TOÁN HỆ SỐ PHỨC TẠP KỸ THUẬT-CÔNG NGHỆ</t>
  </si>
  <si>
    <t>Các hệ số</t>
  </si>
  <si>
    <t>Mức giá trị xếp hạng</t>
  </si>
  <si>
    <t>Giá trị xếp hạng</t>
  </si>
  <si>
    <t>Kết quả</t>
  </si>
  <si>
    <r>
      <t>Hệ số KT-CN (</t>
    </r>
    <r>
      <rPr>
        <b/>
        <sz val="12"/>
        <color rgb="FFFF0000"/>
        <rFont val="Times New Roman"/>
        <family val="1"/>
      </rPr>
      <t>TFW</t>
    </r>
    <r>
      <rPr>
        <b/>
        <sz val="12"/>
        <color rgb="FF000000"/>
        <rFont val="Times New Roman"/>
        <family val="1"/>
      </rPr>
      <t>)</t>
    </r>
  </si>
  <si>
    <t>Hệ thống phân tán (Distributed System)</t>
  </si>
  <si>
    <t>Giá trị xếp hạng được xác định trong khoảng từ 0 đến 5 với ý nghĩa: 
   0 = Không quan trọng;
   5 = Có vai trò tác động căn bản;</t>
  </si>
  <si>
    <t>Tính chất đáp ứng tức thời hoặc yêu cầu đảm bảo thông lượng (response throughput performance objectives)</t>
  </si>
  <si>
    <t>Hiệu quả sử dụng trực tuyến (end user efficiency online)</t>
  </si>
  <si>
    <t>Độ phức tạp của xử lý bên trong (complex internal processing)</t>
  </si>
  <si>
    <t>Mã nguồn phải tái sử dụng được (Code must be reuseable)</t>
  </si>
  <si>
    <t>Dễ cài đặt (Easy to install)</t>
  </si>
  <si>
    <t>Dễ sử dụng (Easy to use)</t>
  </si>
  <si>
    <t>Khả năng chuyển đổi (Portable)</t>
  </si>
  <si>
    <t>Khả năng dễ thay đổi (Easy to change)</t>
  </si>
  <si>
    <t>Sử dụng đồng thời (Concurrent)</t>
  </si>
  <si>
    <t>Có các tính năng bảo mật đặc biệt</t>
  </si>
  <si>
    <t>Cung cấp truy nhập trực tiếp tới các phần mềm third party</t>
  </si>
  <si>
    <t>Yêu cầu phương tiện đào tạo đặc biệt cho người sử dụng</t>
  </si>
  <si>
    <r>
      <t>Hệ số độ phức tạp về KT-CN (</t>
    </r>
    <r>
      <rPr>
        <b/>
        <sz val="12"/>
        <color rgb="FFFF0000"/>
        <rFont val="Times New Roman"/>
        <family val="1"/>
      </rPr>
      <t>TCF</t>
    </r>
    <r>
      <rPr>
        <b/>
        <sz val="12"/>
        <color rgb="FF000000"/>
        <rFont val="Times New Roman"/>
        <family val="1"/>
      </rPr>
      <t>)</t>
    </r>
  </si>
  <si>
    <t>TCF = 0,6 + (0,01 x TFW)</t>
  </si>
  <si>
    <t>BẢNG TÍNH TOÁN HỆ SỐ TÁC ĐỘNG MÔI TRƯỜNG VÀ NHÓM LÀM VIỆC, HỆ SỐ PHỨC TẠP VỀ MÔI TRƯỜNG</t>
  </si>
  <si>
    <t>Các hệ số tác động môi trường</t>
  </si>
  <si>
    <t>Thang điểm đánh giá giá trị xếp hạng</t>
  </si>
  <si>
    <t>Kết quả (KQ)</t>
  </si>
  <si>
    <t>Thang điểm tính Giá trị nội suy từ Kết quả</t>
  </si>
  <si>
    <t>Đánh giá độ ổn định kinh nghiệm</t>
  </si>
  <si>
    <r>
      <t>Hệ số tác động môi trường và nhóm làm việc (</t>
    </r>
    <r>
      <rPr>
        <b/>
        <sz val="12"/>
        <color rgb="FFFF0000"/>
        <rFont val="Times New Roman"/>
        <family val="1"/>
      </rPr>
      <t>EFW</t>
    </r>
    <r>
      <rPr>
        <b/>
        <sz val="12"/>
        <color rgb="FF000000"/>
        <rFont val="Times New Roman"/>
        <family val="1"/>
      </rPr>
      <t>)</t>
    </r>
  </si>
  <si>
    <t>Đánh giá cho từng thành viên</t>
  </si>
  <si>
    <t xml:space="preserve">KQ ≤0: GTNS=0
KQ&gt;0: GTNS= 0,05
KQ&gt;1: GTNS= 0,1
KQ&gt;2: GTNS= 0,6
KQ&gt;3: GTNS= 1
</t>
  </si>
  <si>
    <t>Có kinh nghiệm về ứng dụng tương tự (application experiences)</t>
  </si>
  <si>
    <t>. Điểm 0: Không có kinh nghiệm
. Điểm 1: Trình độ yếu;
. Điểm 3: Trung bình;
. Điểm 5: Giỏi;
(Chấp nhận điểm đánh giá lẻ 01 chữ số thập phân sau dấu phẩy)</t>
  </si>
  <si>
    <t>Có kinh nghiệm về hướng đối tượng (Object Oriented)</t>
  </si>
  <si>
    <t>Có khả năng lãnh đạo Nhóm</t>
  </si>
  <si>
    <t>Tính chất năng động</t>
  </si>
  <si>
    <t>. 0 = Không năng động
. 3 = Trung bình
. 5 = Cao</t>
  </si>
  <si>
    <t>Đánh giá chung cho Dự án</t>
  </si>
  <si>
    <t>Độ ổn định của các yêu cầu</t>
  </si>
  <si>
    <t>0 = Rất bất định
5 = Không hay thay đổi</t>
  </si>
  <si>
    <t>Có sử dụng các nhân viên làm Part-time (một phần thời gian)</t>
  </si>
  <si>
    <t>0 = Không có nhân viên làm Part-time
3 = Có nhân viên làm Part-time
5 = Tất cả đều làm Part-time</t>
  </si>
  <si>
    <t>Dùng ngôn ngữ lập trình loại khó</t>
  </si>
  <si>
    <t>0 = Ngôn ngữ lập trình dễ
3 = Trung bình
5 = Khó</t>
  </si>
  <si>
    <r>
      <t>Hệ số phức tạp về môi trường (</t>
    </r>
    <r>
      <rPr>
        <b/>
        <sz val="12"/>
        <color rgb="FFFF0000"/>
        <rFont val="Times New Roman"/>
        <family val="1"/>
      </rPr>
      <t>EF</t>
    </r>
    <r>
      <rPr>
        <b/>
        <sz val="12"/>
        <color rgb="FF000000"/>
        <rFont val="Times New Roman"/>
        <family val="1"/>
      </rPr>
      <t xml:space="preserve"> = 1,4 + (-0,03 x EFW))</t>
    </r>
  </si>
  <si>
    <r>
      <t>EF</t>
    </r>
    <r>
      <rPr>
        <b/>
        <sz val="12"/>
        <color rgb="FF000000"/>
        <rFont val="Times New Roman"/>
        <family val="1"/>
      </rPr>
      <t xml:space="preserve"> = 1,4 + (-0,03 x EFW)</t>
    </r>
  </si>
  <si>
    <r>
      <t>Độ ổn định kinh nghiệm (</t>
    </r>
    <r>
      <rPr>
        <b/>
        <sz val="12"/>
        <color rgb="FFFF0000"/>
        <rFont val="Times New Roman"/>
        <family val="1"/>
      </rPr>
      <t>ES</t>
    </r>
    <r>
      <rPr>
        <b/>
        <sz val="12"/>
        <color rgb="FF000000"/>
        <rFont val="Times New Roman"/>
        <family val="1"/>
      </rPr>
      <t>)</t>
    </r>
  </si>
  <si>
    <r>
      <t>Nội suy thời gian lao động (</t>
    </r>
    <r>
      <rPr>
        <b/>
        <sz val="12"/>
        <color rgb="FFFF0000"/>
        <rFont val="Times New Roman"/>
        <family val="1"/>
      </rPr>
      <t>P</t>
    </r>
    <r>
      <rPr>
        <b/>
        <sz val="12"/>
        <color rgb="FF000000"/>
        <rFont val="Times New Roman"/>
        <family val="1"/>
      </rPr>
      <t>)</t>
    </r>
  </si>
  <si>
    <t>ES&lt; 1 P=48
ES≥ 1 P=32
ES≥ 3 P=20</t>
  </si>
  <si>
    <t>BẢNG TÍNH XÁC ĐỊNH MỨC THU NHẬP BÌNH QUÂN</t>
  </si>
  <si>
    <t>KS bậc 1/8</t>
  </si>
  <si>
    <t>KS bậc 2/8</t>
  </si>
  <si>
    <t>KS bậc 3/8</t>
  </si>
  <si>
    <t>KS bậc 4/8</t>
  </si>
  <si>
    <t>KS bậc 5/8</t>
  </si>
  <si>
    <t>KS bậc 6/8</t>
  </si>
  <si>
    <t>KS bậc 7/8</t>
  </si>
  <si>
    <t>KS bậc 8/8</t>
  </si>
  <si>
    <t>Hệ số</t>
  </si>
  <si>
    <t>205/2004/NĐ-CP</t>
  </si>
  <si>
    <t>Lương tối thiểu (LTT)</t>
  </si>
  <si>
    <t>x</t>
  </si>
  <si>
    <t>Lương cơ bản (LCB)</t>
  </si>
  <si>
    <t xml:space="preserve">Hệ số </t>
  </si>
  <si>
    <t>LTT</t>
  </si>
  <si>
    <t>Lương phụ (tiền ngày lễ, ngày phép)</t>
  </si>
  <si>
    <t>LCB</t>
  </si>
  <si>
    <t>Chi phí khoán gọn cho người lao động (CPKG)</t>
  </si>
  <si>
    <t>Phụ cấp không ổn định sản xuất (PCSX)</t>
  </si>
  <si>
    <t>Bảo hiểm xã hội</t>
  </si>
  <si>
    <t>Bảo hiểm y tế</t>
  </si>
  <si>
    <t>Bảo hiểm thất nghiệp</t>
  </si>
  <si>
    <t>Phụ cấp lưu động (PCLD)</t>
  </si>
  <si>
    <t>Công đoàn phí</t>
  </si>
  <si>
    <t>Ăn ca</t>
  </si>
  <si>
    <t>Tổng thu nhập/tháng</t>
  </si>
  <si>
    <t>Đơn giá nhân công/ngày</t>
  </si>
  <si>
    <t>Đơn giá giờ công</t>
  </si>
  <si>
    <t>Đề xuất lựa chọn mức thu nhập bình quân theo mức 3 tại Bảng tính</t>
  </si>
  <si>
    <t>BẢNG DIỄN GIẢI CÁCH TÍNH TIỀN LƯƠNG KỸ SƯ CNTT 2012</t>
  </si>
  <si>
    <t>Vùng  I (Căn cứ theo Nghị định số 70/2011/NĐ-CP ngày 22/8/2011)</t>
  </si>
  <si>
    <t>Cách tính lương theo Định mức chi phí của TĐ</t>
  </si>
  <si>
    <t>Tiền lương</t>
  </si>
  <si>
    <t>Mức lương 2012 (đ/tháng)</t>
  </si>
  <si>
    <t>Đơn giá ngày công (đ/ngày)</t>
  </si>
  <si>
    <t>Mức lương 2012 / 22</t>
  </si>
  <si>
    <t>Đơn giá giờ công (đ/giờ)</t>
  </si>
  <si>
    <t>Đơn giá ngày công/8</t>
  </si>
  <si>
    <t xml:space="preserve">Hệ số lương </t>
  </si>
  <si>
    <t>Lương tối thiểu chung từ tháng 1-4/2012</t>
  </si>
  <si>
    <t>Lương tối thiểu chung từ tháng 5-12/2012</t>
  </si>
  <si>
    <t>Lương tối thiểu vùng</t>
  </si>
  <si>
    <t>Lương cơ bản</t>
  </si>
  <si>
    <t>2,96* Lương tối thiểu vùng</t>
  </si>
  <si>
    <t xml:space="preserve">Lương phụ </t>
  </si>
  <si>
    <t>2,96*(Lương tối thiểu vùng)*12%</t>
  </si>
  <si>
    <t>VB 2589/BTTTT</t>
  </si>
  <si>
    <t xml:space="preserve">Bảo hiểm xã hội </t>
  </si>
  <si>
    <t>2,96*(830.000*4+1.050.000*8)/12*17%</t>
  </si>
  <si>
    <t>Điều 2 Thông tư 10/2012/TT-BLĐTBXH  ngày 26/4/2012 của BLĐTBXH</t>
  </si>
  <si>
    <t>2,96*(830.000*4+1.050.000*8)/12*3%</t>
  </si>
  <si>
    <t>2,96*(830.000*4+1.050.000*8)/12*1%</t>
  </si>
  <si>
    <t>2,96*(830.000*4+1.050.000*8)/12*2%</t>
  </si>
  <si>
    <t>Đ 26 Luật Công đoàn 2013</t>
  </si>
  <si>
    <t>(620.000*4+680.000*8)/12</t>
  </si>
  <si>
    <t>Bảo hộ lao động</t>
  </si>
  <si>
    <t>2.000.000 đồng/người/năm</t>
  </si>
  <si>
    <t>Lưu ý: kỹ sư CNTT của VNPT là kỹ sư bậc 3/8</t>
  </si>
  <si>
    <t>Tên tỉnh/TP</t>
  </si>
  <si>
    <t>Phạm vi áp dụng</t>
  </si>
  <si>
    <t>Bà Rịa - Vũng Tàu</t>
  </si>
  <si>
    <t xml:space="preserve">Thành phố Vũng Tàu </t>
  </si>
  <si>
    <t>Bình Dương</t>
  </si>
  <si>
    <t xml:space="preserve">Các thị xã Thủ Dầu Một, Thuận An, Dĩ An và các huyện Bến Cát, Tân Uyên </t>
  </si>
  <si>
    <t>Đồng Nai</t>
  </si>
  <si>
    <t xml:space="preserve">Thành phố Biên Hòa và các huyện Nhơn Trạch, Long Thành, Vĩnh Cửu,Trảng Bom </t>
  </si>
  <si>
    <t xml:space="preserve">Hà Nội:  </t>
  </si>
  <si>
    <t>Các quận và các huyện Gia Lâm, Đông Anh, Sóc Sơn, Thanh Trì, Từ Liêm,Thường Tín, Hòai Đức, Thạch Thất, Quốc Oai, Thanh Oai, Mê Linh, Chương Mỹ và thị xã Sơn Tây thuộc thành phố Hà Nội</t>
  </si>
  <si>
    <t>Hải Phòng</t>
  </si>
  <si>
    <t xml:space="preserve">Các quận và các huyện Thủy Nguyên, An Dương, An Lão, Vĩnh Bảo </t>
  </si>
  <si>
    <t>TP Hồ Chí Minh</t>
  </si>
  <si>
    <t xml:space="preserve">Các quận và các huyện Củ Chi, Hóc Môn, Bình Chánh, Nhà Bè </t>
  </si>
  <si>
    <t>Quản trị phân quyền</t>
  </si>
  <si>
    <t>Cấu hình hệ thống</t>
  </si>
  <si>
    <t>- Quản lý các cấu hình hệ thống.</t>
  </si>
  <si>
    <t>I. Hệ thống</t>
  </si>
  <si>
    <t>Phần mềm Hệ thống thông tin báo cáo - Sở Du lịch KHA</t>
  </si>
  <si>
    <t>Sở Du lịch</t>
  </si>
  <si>
    <t>Cấu hình thời gian nộp báo cáo</t>
  </si>
  <si>
    <t>Doanh nghiệp</t>
  </si>
  <si>
    <t>- Doanh nghiệp thực hiện import các mẫu báo cáo theo danh mục báo cáo đã có sẵn.</t>
  </si>
  <si>
    <t>Quản lý danh mục kỳ báo cáo.</t>
  </si>
  <si>
    <t>- Thêm, xóa, sửa danh mục kỳ báo cáo: tháng, quý, 06 tháng, năm…</t>
  </si>
  <si>
    <t>- Thêm, xóa, sửa thông tin doanh nghiệp.
- Cập nhật phân cấp các đơn vị cơ sở thuộc doanh nghiệp chủ đầu tư.</t>
  </si>
  <si>
    <t>- Thêm, xóa, sửa danh mục loại doanh nghiệp: lưu trú, lữ hành…</t>
  </si>
  <si>
    <t>Thống kê danh sách doanh nghiệp trễ hạn báo cáo theo thời gian.</t>
  </si>
  <si>
    <t>- Thống kê DS doanh nghiệp trễ hạn báo cáo theo tháng/quý/năm…</t>
  </si>
  <si>
    <t>Thống kê số lượng báo cáo đã thực hiện trong tháng.</t>
  </si>
  <si>
    <t>Sở Du lịch / Doanh nghiệp</t>
  </si>
  <si>
    <t>- Quản lý thông tin đăng nhập.
- Người dùng tự thay đổi mật khẩu.</t>
  </si>
  <si>
    <t>- Thêm / xóa / sửa người dùng.
- Quản lý danh sách người dùng của Doanh nghiệp / Sở Du lịch.
- Quản trị viên có thể reset mật khẩu người dùng.</t>
  </si>
  <si>
    <t>Quản lý đăng nhập/đăng xuất</t>
  </si>
  <si>
    <t>Quản lý danh mục lĩnh vực kinh doanh của Doanh nghiệp.</t>
  </si>
  <si>
    <t>Quản lý thông tin chung của Doanh nghiệp.</t>
  </si>
  <si>
    <t>Gửi nộp báo cáo cho DN thuộc lĩnh vực lưu trú</t>
  </si>
  <si>
    <t>Gửi nộp báo cáo cho DN thuộc lĩnh vực lữ hành</t>
  </si>
  <si>
    <t>Gửi nộp báo cáo cho DN thuộc lĩnh vực vận chuyển khách du lịch.</t>
  </si>
  <si>
    <t>Gửi nộp báo cáo cho DN thuộc lĩnh vực phục vụ khách du lịch.</t>
  </si>
  <si>
    <t>Gửi nộp báo cáo cho DN thuộc lĩnh vực khu/điểm du lịch.</t>
  </si>
  <si>
    <t>Kết xuất, tổng hợp báo cáo.</t>
  </si>
  <si>
    <t>Quản lý thông tin Doanh nghiệp thuộc lĩnh vực lưu trú.</t>
  </si>
  <si>
    <t>Quản lý thông tin Doanh nghiệp thuộc lĩnh vực lữ hành.</t>
  </si>
  <si>
    <t>Quản lý thông tin Doanh nghiệp thuộc lĩnh vực vận chuyển khách du lịch.</t>
  </si>
  <si>
    <t>Quản lý thông tin Doanh nghiệp thuộc lĩnh vực khu/điểm du lịch.</t>
  </si>
  <si>
    <t>Quản lý thông tin Doanh nghiệp thuộc lĩnh vực phục vụ khách du lịch.</t>
  </si>
  <si>
    <t>Thống kê số lượng doanh nghiệp theo từng lĩnh vực.</t>
  </si>
  <si>
    <t>- Thống kê số lượng báo cáo đã gửi / xuất trong tháng.</t>
  </si>
  <si>
    <t>- Thống kê số lượng doanh nghiệp theo lĩnh vực.</t>
  </si>
  <si>
    <t>7. BẢNG LƯƠNG</t>
  </si>
  <si>
    <t>ĐVT: đồng</t>
  </si>
  <si>
    <t>KS bậc 1/7</t>
  </si>
  <si>
    <t>KS 2/7</t>
  </si>
  <si>
    <t>KS bậc 3/7</t>
  </si>
  <si>
    <t>KS bậc 4/7</t>
  </si>
  <si>
    <t>KS bậc 5/7</t>
  </si>
  <si>
    <t>KS bậc 6/7</t>
  </si>
  <si>
    <t>KS bậc 7/7</t>
  </si>
  <si>
    <t>Hệ số lương (HSL)</t>
  </si>
  <si>
    <t>Thông tư số 17/2015/TT-BLĐTBXH; NĐ 49/2013/NĐ-CP;</t>
  </si>
  <si>
    <t>Lương tối thiểu vùng (LTTV)</t>
  </si>
  <si>
    <t>Nghị định 90/2019/NĐ-CP ngày 15/11/2019</t>
  </si>
  <si>
    <t>Mức lương (LCBDN)</t>
  </si>
  <si>
    <t>HSL*LTTV</t>
  </si>
  <si>
    <t>Lương phụ</t>
  </si>
  <si>
    <t>* LCBDN</t>
  </si>
  <si>
    <t>TT 06/2011/TT - BTTTT</t>
  </si>
  <si>
    <t>Khoán trực tiếp</t>
  </si>
  <si>
    <t>Tổng lương/tháng</t>
  </si>
  <si>
    <t>CÁCH TÍNH HỆ SỐ LƯƠNG</t>
  </si>
  <si>
    <t>Nhóm yếu tố</t>
  </si>
  <si>
    <t>Bậc 1</t>
  </si>
  <si>
    <t>Bậc 2</t>
  </si>
  <si>
    <t>Bậc 3</t>
  </si>
  <si>
    <t>Bậc 4</t>
  </si>
  <si>
    <t>Bậc 5</t>
  </si>
  <si>
    <t>Bậc 6</t>
  </si>
  <si>
    <t>Bậc 7</t>
  </si>
  <si>
    <t>Thời gian hoặc trình độ đào tạo</t>
  </si>
  <si>
    <t>Trách nhiệm</t>
  </si>
  <si>
    <t>Kỹ năng, tích lũy kinh nghiệm</t>
  </si>
  <si>
    <t>Mức độ ảnh hưởng của công việc, sản phẩm</t>
  </si>
  <si>
    <t>Tổng điểm các yếu tố</t>
  </si>
  <si>
    <t>Hệ số cấp bậc công việc</t>
  </si>
  <si>
    <t>Hệ số lương</t>
  </si>
  <si>
    <t>TIÊU CHUẨN CHỨC DANH KỸ SƯ PHẦN MỀM, LẬP TRÌNH VIÊN</t>
  </si>
  <si>
    <t>Tiêu chí đánh giá</t>
  </si>
  <si>
    <t>Thang điểm kỹ thuật thấp nhất</t>
  </si>
  <si>
    <t xml:space="preserve">Thang điểm kỹ thuật cao nhất </t>
  </si>
  <si>
    <t xml:space="preserve">Tốt nghiệp Cao đẳng, Đại học, được đào tạo kỹ thuật nghiệp vụ từ 6 tháng đến dưới 1 năm </t>
  </si>
  <si>
    <t>Yêu cầu trách nhiệm công việc cao</t>
  </si>
  <si>
    <t>Công việc yêu cầu có kỹ năng, tích lũy kinh nghiệm từ 1-2 năm</t>
  </si>
  <si>
    <t>Công việc, sản phẩm ảnh hưởng quyết định đến công việc, sản phẩm khác</t>
  </si>
  <si>
    <t>TỔNG ĐIỂM CÁC YẾU TỐ</t>
  </si>
  <si>
    <t>Đơn giá nhân công/giờ</t>
  </si>
  <si>
    <r>
      <t xml:space="preserve">Kỹ sư bậc 3. Tham khảo sheet </t>
    </r>
    <r>
      <rPr>
        <b/>
        <sz val="12"/>
        <color rgb="FF000000"/>
        <rFont val="Times New Roman"/>
        <family val="1"/>
      </rPr>
      <t>Bảng lương nhân công.</t>
    </r>
  </si>
  <si>
    <t>Thống kê danh sách doanh nghiệp chưa nộp báo cáo.</t>
  </si>
  <si>
    <t>Gửi nộp báo cáo bổ sung cho DN.</t>
  </si>
  <si>
    <t>- Doanh nghiệp sau ngày 18 hàng tháng chưa nộp báo cáo, sẽ được nộp bổ sung tại menu chức năng này. Và chỉ những Doanh nghiệp này mới thấy menu này để thực hiện.</t>
  </si>
  <si>
    <t>- Kết xuất các mẫu báo cáo theo các lĩnh vực: Lưu trú, lữ hành, vận chuyển, khu du lịch, phụ vụ du khách.</t>
  </si>
  <si>
    <t>- Cấu hình thông số thời gian hết hạn báo cáo: 24g00 ngày 12 hàng tháng. Các doanh nghiệp nộp báo cáo sau thời gian này chuyển trạng thái sang trễ hạn.
- Từ ngày 12-18 hàng tháng, cho phép nộp báo cáo bổ sung cho các doanh nghiệp chưa nộp hoặc đã nộp và muốn điều chỉnh.
- Sau 24g00 ngày 18 hàng tháng, chức năng import báo cáo của Doanh nghiệp sẽ bị khóa.
- Sở Du lịch tự chủ động cấu hình thời gian nộp báo cáo cho Doanh nghiệp.</t>
  </si>
  <si>
    <t>Tích hợp chức năng ký số điện tử.</t>
  </si>
  <si>
    <t>Thông báo bằng Email/SMS DS các Doanh nghiệp chưa nộp báo cáo.</t>
  </si>
  <si>
    <t>- Hệ thống gửi email tới DS tài khoản email của Sở Du lịch và Doanh nghiệp đã được cấu hình để thông báo DS các Doanh nghiệp chưa nộp báo cáo.
- Sở Du lịch có thể thực hiện nhân công, hoặc để hệ thống tự động gửi thông báo.
- Có thể sử dụng dịch vụ SMS Brandname.</t>
  </si>
  <si>
    <t>- Tích hợp chức năng ký số điện tử cho các Doanh nghiệp khi nộp gửi báo cáo.
- Có thể sử dụng trên nền tảng online.</t>
  </si>
  <si>
    <t>Tích hợp chức năng chạy quảng cáo trên phần mềm.</t>
  </si>
  <si>
    <t>- Tích hợp chức năng chạy quảng cáo, đưa các nội dung quảng cáo lên phần mềm.</t>
  </si>
  <si>
    <t>Kiểm tra sự biến động bất thường của số liệu báo cáo.</t>
  </si>
  <si>
    <t>- Kiểm tra, rà soát sự biến động bất thường của số liệu báo cáo khi DN gửi về.
- Sở Du lịch sẽ cung cấp các thông tin cận trên / cận dưới của số liệu với các trường thông tin cụ thể để thực hiện cấu hình rà soát sự biến động.</t>
  </si>
  <si>
    <t xml:space="preserve">BẢNG CHI TIẾT TỔNG DỰ TOÁN </t>
  </si>
  <si>
    <t>Đơn vị tính: VNĐ</t>
  </si>
  <si>
    <t>Nội dung</t>
  </si>
  <si>
    <t>Công thức</t>
  </si>
  <si>
    <t>Giá trị trước thuế</t>
  </si>
  <si>
    <t>Thuế GTGT</t>
  </si>
  <si>
    <t>Giá trị sau thuế</t>
  </si>
  <si>
    <t>A</t>
  </si>
  <si>
    <t>CHI PHÍ TRIỂN KHAI PHẦN MỀM</t>
  </si>
  <si>
    <t>Gpm</t>
  </si>
  <si>
    <t>Chi phí phần mềm</t>
  </si>
  <si>
    <t>Gpm1</t>
  </si>
  <si>
    <t>Chi tiết tại ChiPhiThue-PM</t>
  </si>
  <si>
    <t>Chi phí thuê hạ tầng hàng năm</t>
  </si>
  <si>
    <t>Gpm2</t>
  </si>
  <si>
    <t>CHI PHÍ QUẢN LÝ</t>
  </si>
  <si>
    <t>Gql</t>
  </si>
  <si>
    <t>2,644%*Gpm</t>
  </si>
  <si>
    <t>1688/QĐ-BTTTT</t>
  </si>
  <si>
    <t>CHI PHÍ TƯ VẤN</t>
  </si>
  <si>
    <t>Gtv</t>
  </si>
  <si>
    <t>Gtv1</t>
  </si>
  <si>
    <t>0,992%*Gpm</t>
  </si>
  <si>
    <t>Chi phí tư vấn lập Hồ sơ mời thầu và đánh giá Hồ sơ dự thầu</t>
  </si>
  <si>
    <t>Gtv2</t>
  </si>
  <si>
    <t>0,405%*Gpm</t>
  </si>
  <si>
    <t>D</t>
  </si>
  <si>
    <t>CHI PHÍ KHÁC</t>
  </si>
  <si>
    <t>Gk</t>
  </si>
  <si>
    <t>Chi phí thẩm định hồ sơ mời thầu</t>
  </si>
  <si>
    <t>Gk1</t>
  </si>
  <si>
    <t>0,05%*Gpm</t>
  </si>
  <si>
    <t>63/2014/NĐ-CP</t>
  </si>
  <si>
    <t>Chi phí thẩm định kết quả lựa chọn nhà thầu</t>
  </si>
  <si>
    <t>Gk2</t>
  </si>
  <si>
    <t>0,03%*Gpm</t>
  </si>
  <si>
    <t>Chi phí giám sát</t>
  </si>
  <si>
    <t>Gk4</t>
  </si>
  <si>
    <t>2,063%*Gpm</t>
  </si>
  <si>
    <t>Chi phí thẩm định giá</t>
  </si>
  <si>
    <t>Gk6</t>
  </si>
  <si>
    <t>Đơn vị thuê ngoài báo giá thẩm định giá.</t>
  </si>
  <si>
    <t>CHI PHÍ DỰ PHÒNG</t>
  </si>
  <si>
    <t>Gdp</t>
  </si>
  <si>
    <t>TỔNG CỘNG</t>
  </si>
  <si>
    <t>TỔNG DỰ TOÁN (làm tròn)</t>
  </si>
  <si>
    <t>Bằng chữ: ..................................</t>
  </si>
  <si>
    <t>Chạy trên CSDL của Tỉnh.</t>
  </si>
  <si>
    <t>Tích hợp, kết nối tới các hệ thống liên quan thông qua API được cung cấp.</t>
  </si>
  <si>
    <t>- Tích hợp tới các hệ thống liên quan thông qua API được cung cấp.</t>
  </si>
  <si>
    <t>Chi phí lập Đề cương và dự toán chi tiết</t>
  </si>
  <si>
    <t>III. Nghiệp vụ quản lý</t>
  </si>
  <si>
    <t>IV. Danh mục</t>
  </si>
  <si>
    <t>V. Báo cáo thống kê</t>
  </si>
  <si>
    <t>- Thực hiện phân quyền chức năng và phân quyền dữ liệu cho người dùng.</t>
  </si>
  <si>
    <t>II. Nghiệp vụ gửi báo cáo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</si>
</sst>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0.0"/>
    <numFmt numFmtId="166" formatCode="#,##0.0"/>
    <numFmt numFmtId="167" formatCode="&quot;KS bậc 3/8=2,96&quot;"/>
    <numFmt numFmtId="168" formatCode="0.0%"/>
  </numFmts>
  <fonts count="39" x14ac:knownFonts="1">
    <font>
      <sz val="11"/>
      <color rgb="FF000000"/>
      <name val="Calibri"/>
    </font>
    <font>
      <b/>
      <sz val="12"/>
      <color rgb="FF000000"/>
      <name val="Times New Roman"/>
      <family val="1"/>
    </font>
    <font>
      <b/>
      <sz val="14"/>
      <name val="Times New Roman"/>
      <family val="1"/>
    </font>
    <font>
      <b/>
      <sz val="12"/>
      <name val="Times New Roman"/>
      <family val="1"/>
    </font>
    <font>
      <sz val="12"/>
      <name val="Times New Roman"/>
      <family val="1"/>
    </font>
    <font>
      <i/>
      <sz val="12"/>
      <name val="Times New Roman"/>
      <family val="1"/>
    </font>
    <font>
      <sz val="12"/>
      <color rgb="FF000000"/>
      <name val="Times New Roman"/>
      <family val="1"/>
    </font>
    <font>
      <b/>
      <sz val="18"/>
      <color rgb="FF000000"/>
      <name val="Times New Roman"/>
      <family val="1"/>
    </font>
    <font>
      <b/>
      <sz val="14"/>
      <color rgb="FF000000"/>
      <name val="Times New Roman"/>
      <family val="1"/>
    </font>
    <font>
      <sz val="11"/>
      <name val="Calibri"/>
      <family val="2"/>
    </font>
    <font>
      <b/>
      <sz val="12"/>
      <color rgb="FFFF0000"/>
      <name val="Times New Roman"/>
      <family val="1"/>
    </font>
    <font>
      <sz val="16"/>
      <color rgb="FF000000"/>
      <name val="Times New Roman"/>
      <family val="1"/>
    </font>
    <font>
      <b/>
      <sz val="18"/>
      <name val="Times New Roman"/>
      <family val="1"/>
    </font>
    <font>
      <sz val="11"/>
      <color rgb="FF000000"/>
      <name val="Times New Roman"/>
      <family val="1"/>
    </font>
    <font>
      <sz val="12"/>
      <color rgb="FF000000"/>
      <name val="Calibri"/>
      <family val="2"/>
    </font>
    <font>
      <b/>
      <sz val="12"/>
      <color rgb="FF000000"/>
      <name val="Cambria"/>
      <family val="1"/>
    </font>
    <font>
      <sz val="12"/>
      <color rgb="FF000000"/>
      <name val="Cambria"/>
      <family val="1"/>
    </font>
    <font>
      <sz val="12"/>
      <color rgb="FFFF0000"/>
      <name val="Times New Roman"/>
      <family val="1"/>
    </font>
    <font>
      <sz val="13"/>
      <color rgb="FF000000"/>
      <name val="Times New Roman"/>
      <family val="1"/>
    </font>
    <font>
      <sz val="18"/>
      <color rgb="FF000000"/>
      <name val="Times New Roman"/>
      <family val="1"/>
    </font>
    <font>
      <i/>
      <sz val="12"/>
      <color rgb="FF000000"/>
      <name val="Times New Roman"/>
      <family val="1"/>
    </font>
    <font>
      <sz val="10"/>
      <color rgb="FF000000"/>
      <name val="Times New Roman"/>
      <family val="1"/>
    </font>
    <font>
      <b/>
      <sz val="10"/>
      <name val="Times New Roman"/>
      <family val="1"/>
    </font>
    <font>
      <b/>
      <sz val="10"/>
      <color rgb="FFFF0000"/>
      <name val="Times New Roman"/>
      <family val="1"/>
    </font>
    <font>
      <sz val="10"/>
      <name val="Times New Roman"/>
      <family val="1"/>
    </font>
    <font>
      <i/>
      <sz val="10"/>
      <name val="Times New Roman"/>
      <family val="1"/>
    </font>
    <font>
      <b/>
      <i/>
      <sz val="12"/>
      <color rgb="FF000000"/>
      <name val="Times New Roman"/>
      <family val="1"/>
    </font>
    <font>
      <sz val="11"/>
      <color rgb="FF000000"/>
      <name val="Calibri"/>
      <family val="2"/>
    </font>
    <font>
      <sz val="10"/>
      <name val="Arial"/>
      <family val="2"/>
    </font>
    <font>
      <sz val="12"/>
      <color rgb="FF000000"/>
      <name val="Times New Roman"/>
    </font>
    <font>
      <sz val="14"/>
      <name val="Calibri"/>
      <family val="2"/>
      <scheme val="minor"/>
    </font>
    <font>
      <i/>
      <sz val="14"/>
      <name val="Times New Roman"/>
      <family val="1"/>
    </font>
    <font>
      <b/>
      <sz val="14"/>
      <name val="Times New Roman"/>
      <family val="1"/>
      <charset val="163"/>
    </font>
    <font>
      <sz val="14"/>
      <name val="Times New Roman"/>
      <family val="1"/>
      <charset val="163"/>
    </font>
    <font>
      <sz val="14"/>
      <name val="Times New Roman"/>
      <family val="1"/>
    </font>
    <font>
      <sz val="14"/>
      <color theme="1"/>
      <name val="Times New Roman"/>
      <family val="1"/>
      <charset val="163"/>
    </font>
    <font>
      <b/>
      <i/>
      <sz val="14"/>
      <name val="Times New Roman"/>
      <family val="1"/>
    </font>
    <font>
      <b/>
      <sz val="9"/>
      <color indexed="81"/>
      <name val="Tahoma"/>
      <family val="2"/>
    </font>
    <font>
      <sz val="9"/>
      <color indexed="81"/>
      <name val="Tahoma"/>
      <family val="2"/>
    </font>
  </fonts>
  <fills count="13">
    <fill>
      <patternFill patternType="none"/>
    </fill>
    <fill>
      <patternFill patternType="gray125"/>
    </fill>
    <fill>
      <patternFill patternType="solid">
        <fgColor rgb="FFFFFF00"/>
        <bgColor rgb="FFFFFF00"/>
      </patternFill>
    </fill>
    <fill>
      <patternFill patternType="solid">
        <fgColor rgb="FFC0C0C0"/>
        <bgColor rgb="FFC0C0C0"/>
      </patternFill>
    </fill>
    <fill>
      <patternFill patternType="solid">
        <fgColor rgb="FFCCFFFF"/>
        <bgColor rgb="FFCCFFFF"/>
      </patternFill>
    </fill>
    <fill>
      <patternFill patternType="solid">
        <fgColor rgb="FFFFFFFF"/>
        <bgColor rgb="FFFFFFFF"/>
      </patternFill>
    </fill>
    <fill>
      <patternFill patternType="solid">
        <fgColor rgb="FF969696"/>
        <bgColor rgb="FF969696"/>
      </patternFill>
    </fill>
    <fill>
      <patternFill patternType="solid">
        <fgColor rgb="FF339966"/>
        <bgColor rgb="FF339966"/>
      </patternFill>
    </fill>
    <fill>
      <patternFill patternType="solid">
        <fgColor rgb="FF99CCFF"/>
        <bgColor rgb="FF99CCFF"/>
      </patternFill>
    </fill>
    <fill>
      <patternFill patternType="solid">
        <fgColor rgb="FFFFFFFF"/>
        <bgColor indexed="64"/>
      </patternFill>
    </fill>
    <fill>
      <patternFill patternType="solid">
        <fgColor theme="4" tint="0.59999389629810485"/>
        <bgColor rgb="FFDBE5F1"/>
      </patternFill>
    </fill>
    <fill>
      <patternFill patternType="solid">
        <fgColor theme="4" tint="0.59999389629810485"/>
        <bgColor indexed="64"/>
      </patternFill>
    </fill>
    <fill>
      <patternFill patternType="solid">
        <fgColor theme="0"/>
        <bgColor indexed="64"/>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style="medium">
        <color rgb="FF000000"/>
      </left>
      <right/>
      <top/>
      <bottom style="medium">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rgb="FF000000"/>
      </bottom>
      <diagonal/>
    </border>
    <border>
      <left/>
      <right/>
      <top/>
      <bottom style="thin">
        <color indexed="64"/>
      </bottom>
      <diagonal/>
    </border>
    <border>
      <left style="thin">
        <color indexed="64"/>
      </left>
      <right style="thin">
        <color indexed="64"/>
      </right>
      <top style="thin">
        <color indexed="64"/>
      </top>
      <bottom/>
      <diagonal/>
    </border>
  </borders>
  <cellStyleXfs count="6">
    <xf numFmtId="0" fontId="0" fillId="0" borderId="0"/>
    <xf numFmtId="0" fontId="6" fillId="0" borderId="5"/>
    <xf numFmtId="0" fontId="28" fillId="0" borderId="5"/>
    <xf numFmtId="0" fontId="29" fillId="0" borderId="5"/>
    <xf numFmtId="43" fontId="29" fillId="0" borderId="5" applyFont="0" applyFill="0" applyBorder="0" applyAlignment="0" applyProtection="0"/>
    <xf numFmtId="0" fontId="28" fillId="0" borderId="5"/>
  </cellStyleXfs>
  <cellXfs count="339">
    <xf numFmtId="0" fontId="0" fillId="0" borderId="0" xfId="0" applyFont="1" applyAlignment="1"/>
    <xf numFmtId="0" fontId="1" fillId="0" borderId="0" xfId="0" applyFont="1" applyAlignment="1">
      <alignment vertical="center"/>
    </xf>
    <xf numFmtId="0" fontId="1" fillId="0" borderId="0" xfId="0" applyFont="1" applyAlignment="1"/>
    <xf numFmtId="0" fontId="4" fillId="0" borderId="1" xfId="0" applyFont="1" applyBorder="1" applyAlignment="1">
      <alignment horizontal="center" vertical="center" wrapText="1"/>
    </xf>
    <xf numFmtId="0" fontId="6" fillId="0" borderId="0" xfId="0" applyFont="1" applyAlignment="1">
      <alignment vertical="center" wrapText="1"/>
    </xf>
    <xf numFmtId="0" fontId="6" fillId="0" borderId="0" xfId="0" applyFont="1" applyAlignment="1">
      <alignment vertical="center"/>
    </xf>
    <xf numFmtId="0" fontId="1" fillId="0" borderId="0" xfId="0" applyFont="1" applyAlignment="1">
      <alignment horizontal="center" vertical="center"/>
    </xf>
    <xf numFmtId="0" fontId="6" fillId="0" borderId="0" xfId="0" applyFont="1" applyAlignment="1">
      <alignment horizontal="right" vertical="center"/>
    </xf>
    <xf numFmtId="0" fontId="1"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3" fontId="4" fillId="0" borderId="1" xfId="0" applyNumberFormat="1" applyFont="1" applyBorder="1" applyAlignment="1">
      <alignment horizontal="right" vertical="center" wrapText="1"/>
    </xf>
    <xf numFmtId="0" fontId="4" fillId="0" borderId="1" xfId="0" applyFont="1" applyBorder="1" applyAlignment="1">
      <alignment horizontal="left" vertical="center" wrapText="1"/>
    </xf>
    <xf numFmtId="3" fontId="6" fillId="0" borderId="1" xfId="0" applyNumberFormat="1" applyFont="1" applyBorder="1" applyAlignment="1">
      <alignment horizontal="right" vertical="center" wrapText="1"/>
    </xf>
    <xf numFmtId="3" fontId="6" fillId="0" borderId="0" xfId="0" applyNumberFormat="1" applyFont="1" applyAlignment="1">
      <alignment vertical="center"/>
    </xf>
    <xf numFmtId="0" fontId="6" fillId="4" borderId="1" xfId="0" applyFont="1" applyFill="1" applyBorder="1" applyAlignment="1">
      <alignment horizontal="center" vertical="center" wrapText="1"/>
    </xf>
    <xf numFmtId="0" fontId="6" fillId="4" borderId="1" xfId="0" applyFont="1" applyFill="1" applyBorder="1" applyAlignment="1">
      <alignment horizontal="left" vertical="center" wrapText="1"/>
    </xf>
    <xf numFmtId="3" fontId="10" fillId="4" borderId="1" xfId="0" applyNumberFormat="1" applyFont="1" applyFill="1" applyBorder="1" applyAlignment="1">
      <alignment horizontal="right" vertical="center" wrapText="1"/>
    </xf>
    <xf numFmtId="164" fontId="6" fillId="0" borderId="0" xfId="0" applyNumberFormat="1" applyFont="1" applyAlignment="1">
      <alignment vertical="center"/>
    </xf>
    <xf numFmtId="0" fontId="6" fillId="5" borderId="5" xfId="0" applyFont="1" applyFill="1" applyBorder="1" applyAlignment="1">
      <alignment vertical="center"/>
    </xf>
    <xf numFmtId="0" fontId="11" fillId="0" borderId="0" xfId="0" applyFont="1" applyAlignment="1">
      <alignment vertical="center"/>
    </xf>
    <xf numFmtId="0" fontId="1" fillId="0" borderId="0" xfId="0" applyFont="1" applyAlignment="1">
      <alignment horizontal="left" vertical="center"/>
    </xf>
    <xf numFmtId="0" fontId="1" fillId="3" borderId="6" xfId="0" applyFont="1" applyFill="1" applyBorder="1" applyAlignment="1">
      <alignment horizontal="center" vertical="center" wrapText="1"/>
    </xf>
    <xf numFmtId="4" fontId="1" fillId="3" borderId="1" xfId="0" applyNumberFormat="1"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0" borderId="1" xfId="0" applyFont="1" applyBorder="1" applyAlignment="1">
      <alignment horizontal="center" vertical="center"/>
    </xf>
    <xf numFmtId="0" fontId="6" fillId="5" borderId="1" xfId="0" applyFont="1" applyFill="1" applyBorder="1" applyAlignment="1">
      <alignment horizontal="center" vertical="center" wrapText="1"/>
    </xf>
    <xf numFmtId="0" fontId="6" fillId="5" borderId="6" xfId="0" applyFont="1" applyFill="1" applyBorder="1" applyAlignment="1">
      <alignment horizontal="left" vertical="center" wrapText="1"/>
    </xf>
    <xf numFmtId="4" fontId="6" fillId="5" borderId="1" xfId="0" applyNumberFormat="1" applyFont="1" applyFill="1" applyBorder="1" applyAlignment="1">
      <alignment horizontal="center" vertical="center" wrapText="1"/>
    </xf>
    <xf numFmtId="0" fontId="6" fillId="5" borderId="1" xfId="0" applyFont="1" applyFill="1" applyBorder="1" applyAlignment="1">
      <alignment horizontal="left" vertical="center" wrapText="1"/>
    </xf>
    <xf numFmtId="0" fontId="6" fillId="5" borderId="1" xfId="0" applyFont="1" applyFill="1" applyBorder="1" applyAlignment="1">
      <alignment vertical="center" wrapText="1"/>
    </xf>
    <xf numFmtId="4" fontId="6" fillId="5" borderId="1" xfId="0" applyNumberFormat="1" applyFont="1" applyFill="1" applyBorder="1" applyAlignment="1">
      <alignment horizontal="right" vertical="center" wrapText="1"/>
    </xf>
    <xf numFmtId="0" fontId="6" fillId="5" borderId="1" xfId="0" applyFont="1" applyFill="1" applyBorder="1" applyAlignment="1">
      <alignment horizontal="left" vertical="center"/>
    </xf>
    <xf numFmtId="0" fontId="1" fillId="0" borderId="1" xfId="0" applyFont="1" applyBorder="1" applyAlignment="1">
      <alignment vertical="center"/>
    </xf>
    <xf numFmtId="0" fontId="6" fillId="0" borderId="1" xfId="0" applyFont="1" applyBorder="1" applyAlignment="1">
      <alignment horizontal="center" vertical="center"/>
    </xf>
    <xf numFmtId="0" fontId="1" fillId="4" borderId="1" xfId="0" applyFont="1" applyFill="1" applyBorder="1" applyAlignment="1">
      <alignment horizontal="center" vertical="center" wrapText="1"/>
    </xf>
    <xf numFmtId="0" fontId="1" fillId="4" borderId="1" xfId="0" applyFont="1" applyFill="1" applyBorder="1" applyAlignment="1">
      <alignment vertical="center"/>
    </xf>
    <xf numFmtId="0" fontId="6" fillId="4" borderId="1" xfId="0" applyFont="1" applyFill="1" applyBorder="1" applyAlignment="1">
      <alignment horizontal="center" vertical="center"/>
    </xf>
    <xf numFmtId="0" fontId="6" fillId="4" borderId="6" xfId="0" applyFont="1" applyFill="1" applyBorder="1" applyAlignment="1">
      <alignment horizontal="left" vertical="center" wrapText="1"/>
    </xf>
    <xf numFmtId="0" fontId="6" fillId="0" borderId="0" xfId="0" applyFont="1" applyAlignment="1">
      <alignment horizontal="center" vertical="center"/>
    </xf>
    <xf numFmtId="0" fontId="6" fillId="0" borderId="0" xfId="0" applyFont="1" applyAlignment="1">
      <alignment horizontal="left" vertical="center"/>
    </xf>
    <xf numFmtId="0" fontId="6" fillId="0" borderId="0" xfId="0"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left" vertical="center" wrapText="1"/>
    </xf>
    <xf numFmtId="0" fontId="3" fillId="0" borderId="0" xfId="0" applyFont="1" applyAlignment="1">
      <alignment horizontal="center" vertical="center" wrapText="1"/>
    </xf>
    <xf numFmtId="0" fontId="4" fillId="0" borderId="0" xfId="0" applyFont="1" applyAlignment="1">
      <alignment vertical="center"/>
    </xf>
    <xf numFmtId="0" fontId="4" fillId="0" borderId="0" xfId="0" applyFont="1" applyAlignment="1">
      <alignment vertical="center" wrapText="1"/>
    </xf>
    <xf numFmtId="0" fontId="4" fillId="0" borderId="0" xfId="0" applyFont="1" applyAlignment="1">
      <alignment horizontal="center" vertical="center"/>
    </xf>
    <xf numFmtId="0" fontId="6" fillId="0" borderId="1" xfId="0" applyFont="1" applyBorder="1" applyAlignment="1">
      <alignment wrapText="1"/>
    </xf>
    <xf numFmtId="0" fontId="13" fillId="0" borderId="0" xfId="0" applyFont="1" applyAlignment="1">
      <alignment vertical="center" wrapText="1"/>
    </xf>
    <xf numFmtId="0" fontId="4" fillId="5" borderId="5" xfId="0" applyFont="1" applyFill="1" applyBorder="1" applyAlignment="1">
      <alignment horizontal="center" vertical="center"/>
    </xf>
    <xf numFmtId="0" fontId="4" fillId="5" borderId="5" xfId="0" applyFont="1" applyFill="1" applyBorder="1" applyAlignment="1">
      <alignment vertical="center" wrapText="1"/>
    </xf>
    <xf numFmtId="0" fontId="3" fillId="0" borderId="0" xfId="0" applyFont="1" applyAlignment="1">
      <alignment horizontal="right"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3" fontId="4" fillId="3" borderId="1" xfId="0" applyNumberFormat="1" applyFont="1" applyFill="1" applyBorder="1" applyAlignment="1">
      <alignment horizontal="right" vertical="center" wrapText="1"/>
    </xf>
    <xf numFmtId="0" fontId="4" fillId="4"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6" fillId="0" borderId="1" xfId="0" applyFont="1" applyBorder="1" applyAlignment="1">
      <alignment horizontal="right" vertical="center" wrapText="1"/>
    </xf>
    <xf numFmtId="165" fontId="6" fillId="0" borderId="1" xfId="0" applyNumberFormat="1" applyFont="1" applyBorder="1" applyAlignment="1">
      <alignment horizontal="right" vertical="center" wrapText="1"/>
    </xf>
    <xf numFmtId="166" fontId="6" fillId="0" borderId="1" xfId="0" applyNumberFormat="1" applyFont="1" applyBorder="1" applyAlignment="1">
      <alignment horizontal="right" vertical="center" wrapText="1"/>
    </xf>
    <xf numFmtId="3" fontId="6" fillId="4" borderId="1" xfId="0" applyNumberFormat="1" applyFont="1" applyFill="1" applyBorder="1" applyAlignment="1">
      <alignment horizontal="right" vertical="center" wrapText="1"/>
    </xf>
    <xf numFmtId="166" fontId="10" fillId="4" borderId="1" xfId="0" applyNumberFormat="1" applyFont="1" applyFill="1" applyBorder="1" applyAlignment="1">
      <alignment horizontal="right" vertical="center" wrapText="1"/>
    </xf>
    <xf numFmtId="0" fontId="10" fillId="4" borderId="1" xfId="0" applyFont="1" applyFill="1" applyBorder="1" applyAlignment="1">
      <alignment horizontal="center" vertical="center"/>
    </xf>
    <xf numFmtId="0" fontId="6" fillId="5" borderId="5" xfId="0" applyFont="1" applyFill="1" applyBorder="1" applyAlignment="1">
      <alignment horizontal="center" vertical="center"/>
    </xf>
    <xf numFmtId="0" fontId="14" fillId="0" borderId="0" xfId="0" applyFont="1" applyAlignment="1">
      <alignment vertical="center"/>
    </xf>
    <xf numFmtId="0" fontId="1" fillId="3" borderId="1" xfId="0" applyFont="1" applyFill="1" applyBorder="1" applyAlignment="1">
      <alignment horizontal="center" vertical="center"/>
    </xf>
    <xf numFmtId="0" fontId="6" fillId="5" borderId="1" xfId="0" applyFont="1" applyFill="1" applyBorder="1" applyAlignment="1">
      <alignment horizontal="center" vertical="center"/>
    </xf>
    <xf numFmtId="0" fontId="1" fillId="4" borderId="1" xfId="0" applyFont="1" applyFill="1" applyBorder="1" applyAlignment="1">
      <alignment horizontal="center" vertical="center"/>
    </xf>
    <xf numFmtId="0" fontId="15" fillId="3" borderId="1" xfId="0" applyFont="1" applyFill="1" applyBorder="1" applyAlignment="1">
      <alignment horizontal="center" vertical="center"/>
    </xf>
    <xf numFmtId="0" fontId="6" fillId="0" borderId="1" xfId="0" applyFont="1" applyBorder="1" applyAlignment="1">
      <alignment vertical="center"/>
    </xf>
    <xf numFmtId="0" fontId="17" fillId="0" borderId="0" xfId="0" applyFont="1" applyAlignment="1">
      <alignment vertical="center"/>
    </xf>
    <xf numFmtId="0" fontId="1" fillId="5" borderId="1" xfId="0" applyFont="1" applyFill="1" applyBorder="1" applyAlignment="1">
      <alignment horizontal="left" vertical="center" wrapText="1"/>
    </xf>
    <xf numFmtId="0" fontId="1" fillId="5" borderId="1" xfId="0" applyFont="1" applyFill="1" applyBorder="1" applyAlignment="1">
      <alignment vertical="center"/>
    </xf>
    <xf numFmtId="166" fontId="1" fillId="5" borderId="1" xfId="0" applyNumberFormat="1" applyFont="1" applyFill="1" applyBorder="1" applyAlignment="1">
      <alignment horizontal="right" vertical="center"/>
    </xf>
    <xf numFmtId="4" fontId="10" fillId="5" borderId="1" xfId="0" applyNumberFormat="1" applyFont="1" applyFill="1" applyBorder="1" applyAlignment="1">
      <alignment horizontal="right" vertical="center"/>
    </xf>
    <xf numFmtId="0" fontId="18" fillId="0" borderId="11" xfId="0" applyFont="1" applyBorder="1" applyAlignment="1">
      <alignment horizontal="center" vertical="center" wrapText="1"/>
    </xf>
    <xf numFmtId="0" fontId="18" fillId="0" borderId="12" xfId="0" applyFont="1" applyBorder="1" applyAlignment="1">
      <alignment horizontal="center" vertical="center" wrapText="1"/>
    </xf>
    <xf numFmtId="4" fontId="6" fillId="0" borderId="1" xfId="0" applyNumberFormat="1" applyFont="1" applyBorder="1" applyAlignment="1">
      <alignment horizontal="right" vertical="center"/>
    </xf>
    <xf numFmtId="4" fontId="10" fillId="4" borderId="1" xfId="0" applyNumberFormat="1" applyFont="1" applyFill="1" applyBorder="1" applyAlignment="1">
      <alignment horizontal="right" vertical="center"/>
    </xf>
    <xf numFmtId="0" fontId="1" fillId="5" borderId="1" xfId="0" applyFont="1" applyFill="1" applyBorder="1" applyAlignment="1">
      <alignment horizontal="center" vertical="center"/>
    </xf>
    <xf numFmtId="0" fontId="19" fillId="0" borderId="0" xfId="0" applyFont="1" applyAlignment="1">
      <alignment vertical="center"/>
    </xf>
    <xf numFmtId="0" fontId="1" fillId="3" borderId="13" xfId="0" applyFont="1" applyFill="1" applyBorder="1" applyAlignment="1">
      <alignment horizontal="center" vertical="center"/>
    </xf>
    <xf numFmtId="0" fontId="1" fillId="3" borderId="13" xfId="0" applyFont="1" applyFill="1" applyBorder="1" applyAlignment="1">
      <alignment horizontal="center" vertical="center" wrapText="1"/>
    </xf>
    <xf numFmtId="0" fontId="6" fillId="5" borderId="1" xfId="0" applyFont="1" applyFill="1" applyBorder="1" applyAlignment="1">
      <alignment horizontal="right" vertical="center" wrapText="1"/>
    </xf>
    <xf numFmtId="0" fontId="17" fillId="5" borderId="1" xfId="0" applyFont="1" applyFill="1" applyBorder="1" applyAlignment="1">
      <alignment horizontal="left" vertical="center" wrapText="1"/>
    </xf>
    <xf numFmtId="0" fontId="6" fillId="5" borderId="13" xfId="0" applyFont="1" applyFill="1" applyBorder="1" applyAlignment="1">
      <alignment horizontal="center" vertical="center" wrapText="1"/>
    </xf>
    <xf numFmtId="0" fontId="6" fillId="0" borderId="2" xfId="0" applyFont="1" applyBorder="1" applyAlignment="1">
      <alignment horizontal="center" vertical="center" wrapText="1"/>
    </xf>
    <xf numFmtId="0" fontId="18" fillId="0" borderId="1" xfId="0" applyFont="1" applyBorder="1" applyAlignment="1">
      <alignment horizontal="center" vertical="center" wrapText="1"/>
    </xf>
    <xf numFmtId="0" fontId="6" fillId="5" borderId="16" xfId="0" applyFont="1" applyFill="1" applyBorder="1" applyAlignment="1">
      <alignment horizontal="center" vertical="center" wrapText="1"/>
    </xf>
    <xf numFmtId="0" fontId="20" fillId="5" borderId="6" xfId="0" applyFont="1" applyFill="1" applyBorder="1" applyAlignment="1">
      <alignment horizontal="left" vertical="center" wrapText="1"/>
    </xf>
    <xf numFmtId="0" fontId="1" fillId="5" borderId="6" xfId="0" applyFont="1" applyFill="1" applyBorder="1" applyAlignment="1">
      <alignment horizontal="left" vertical="center" wrapText="1"/>
    </xf>
    <xf numFmtId="0" fontId="6" fillId="5" borderId="16" xfId="0" applyFont="1" applyFill="1" applyBorder="1" applyAlignment="1">
      <alignment horizontal="left" vertical="center" wrapText="1"/>
    </xf>
    <xf numFmtId="0" fontId="20" fillId="5" borderId="1" xfId="0" applyFont="1" applyFill="1" applyBorder="1" applyAlignment="1">
      <alignment horizontal="left" vertical="center" wrapText="1"/>
    </xf>
    <xf numFmtId="0" fontId="6" fillId="5" borderId="10" xfId="0" applyFont="1" applyFill="1" applyBorder="1" applyAlignment="1">
      <alignment horizontal="left" vertical="center" wrapText="1"/>
    </xf>
    <xf numFmtId="0" fontId="6" fillId="0" borderId="4" xfId="0" applyFont="1" applyBorder="1" applyAlignment="1">
      <alignment horizontal="left" vertical="center" wrapText="1"/>
    </xf>
    <xf numFmtId="0" fontId="3" fillId="5" borderId="1" xfId="0" applyFont="1" applyFill="1" applyBorder="1" applyAlignment="1">
      <alignment horizontal="left" vertical="center" wrapText="1"/>
    </xf>
    <xf numFmtId="0" fontId="1" fillId="5" borderId="1" xfId="0" applyFont="1" applyFill="1" applyBorder="1" applyAlignment="1">
      <alignment vertical="center" wrapText="1"/>
    </xf>
    <xf numFmtId="2" fontId="10" fillId="4" borderId="1" xfId="0" applyNumberFormat="1" applyFont="1" applyFill="1" applyBorder="1" applyAlignment="1">
      <alignment horizontal="left" vertical="center" wrapText="1"/>
    </xf>
    <xf numFmtId="0" fontId="10" fillId="5" borderId="1" xfId="0" applyFont="1" applyFill="1" applyBorder="1" applyAlignment="1">
      <alignment horizontal="left" vertical="center" wrapText="1"/>
    </xf>
    <xf numFmtId="0" fontId="10" fillId="4" borderId="1" xfId="0" applyFont="1" applyFill="1" applyBorder="1" applyAlignment="1">
      <alignment horizontal="center" vertical="center" wrapText="1"/>
    </xf>
    <xf numFmtId="0" fontId="21" fillId="0" borderId="0" xfId="0" applyFont="1" applyAlignment="1"/>
    <xf numFmtId="0" fontId="21" fillId="0" borderId="0" xfId="0" applyFont="1" applyAlignment="1">
      <alignment wrapText="1"/>
    </xf>
    <xf numFmtId="0" fontId="22" fillId="0" borderId="0" xfId="0" applyFont="1" applyAlignment="1">
      <alignment horizontal="center" vertical="center" wrapText="1"/>
    </xf>
    <xf numFmtId="164" fontId="22" fillId="0" borderId="0" xfId="0" applyNumberFormat="1" applyFont="1" applyAlignment="1">
      <alignment horizontal="center" vertical="center" wrapText="1"/>
    </xf>
    <xf numFmtId="164" fontId="23" fillId="0" borderId="0" xfId="0" applyNumberFormat="1" applyFont="1" applyAlignment="1">
      <alignment horizontal="center" vertical="center" wrapText="1"/>
    </xf>
    <xf numFmtId="0" fontId="21" fillId="7" borderId="1" xfId="0" applyFont="1" applyFill="1" applyBorder="1" applyAlignment="1">
      <alignment horizontal="center" vertical="center" wrapText="1"/>
    </xf>
    <xf numFmtId="0" fontId="22" fillId="7" borderId="1" xfId="0" applyFont="1" applyFill="1" applyBorder="1" applyAlignment="1">
      <alignment horizontal="center" vertical="center" wrapText="1"/>
    </xf>
    <xf numFmtId="164" fontId="22" fillId="7" borderId="1" xfId="0" applyNumberFormat="1" applyFont="1" applyFill="1" applyBorder="1" applyAlignment="1">
      <alignment horizontal="center" vertical="center" wrapText="1"/>
    </xf>
    <xf numFmtId="164" fontId="22" fillId="2" borderId="1" xfId="0" applyNumberFormat="1" applyFont="1" applyFill="1" applyBorder="1" applyAlignment="1">
      <alignment horizontal="center" vertical="center" wrapText="1"/>
    </xf>
    <xf numFmtId="0" fontId="21" fillId="0" borderId="1" xfId="0" applyFont="1" applyBorder="1" applyAlignment="1">
      <alignment horizontal="center" vertical="center" wrapText="1"/>
    </xf>
    <xf numFmtId="0" fontId="24" fillId="0" borderId="1" xfId="0" applyFont="1" applyBorder="1" applyAlignment="1">
      <alignment horizontal="left" vertical="center" wrapText="1"/>
    </xf>
    <xf numFmtId="0" fontId="24" fillId="0" borderId="1" xfId="0" applyFont="1" applyBorder="1" applyAlignment="1">
      <alignment horizontal="center" vertical="center" wrapText="1"/>
    </xf>
    <xf numFmtId="43" fontId="24" fillId="0" borderId="1" xfId="0" applyNumberFormat="1" applyFont="1" applyBorder="1" applyAlignment="1">
      <alignment horizontal="right" vertical="center" wrapText="1"/>
    </xf>
    <xf numFmtId="43" fontId="24" fillId="2" borderId="1" xfId="0" applyNumberFormat="1" applyFont="1" applyFill="1" applyBorder="1" applyAlignment="1">
      <alignment horizontal="right" vertical="center" wrapText="1"/>
    </xf>
    <xf numFmtId="0" fontId="25" fillId="0" borderId="1" xfId="0" applyFont="1" applyBorder="1" applyAlignment="1">
      <alignment horizontal="center" vertical="center" wrapText="1"/>
    </xf>
    <xf numFmtId="164" fontId="24" fillId="0" borderId="1" xfId="0" applyNumberFormat="1" applyFont="1" applyBorder="1" applyAlignment="1">
      <alignment horizontal="center" vertical="center" wrapText="1"/>
    </xf>
    <xf numFmtId="164" fontId="24" fillId="0" borderId="1" xfId="0" applyNumberFormat="1" applyFont="1" applyBorder="1" applyAlignment="1">
      <alignment horizontal="right" vertical="center" wrapText="1"/>
    </xf>
    <xf numFmtId="164" fontId="24" fillId="2" borderId="1" xfId="0" applyNumberFormat="1" applyFont="1" applyFill="1" applyBorder="1" applyAlignment="1">
      <alignment horizontal="right" vertical="center" wrapText="1"/>
    </xf>
    <xf numFmtId="164" fontId="24" fillId="0" borderId="1" xfId="0" applyNumberFormat="1" applyFont="1" applyBorder="1" applyAlignment="1">
      <alignment vertical="center" wrapText="1"/>
    </xf>
    <xf numFmtId="164" fontId="24" fillId="2" borderId="1" xfId="0" applyNumberFormat="1" applyFont="1" applyFill="1" applyBorder="1" applyAlignment="1">
      <alignment vertical="center" wrapText="1"/>
    </xf>
    <xf numFmtId="9" fontId="24" fillId="0" borderId="1" xfId="0" applyNumberFormat="1" applyFont="1" applyBorder="1" applyAlignment="1">
      <alignment horizontal="center" vertical="center" wrapText="1"/>
    </xf>
    <xf numFmtId="166" fontId="24" fillId="0" borderId="1" xfId="0" applyNumberFormat="1" applyFont="1" applyBorder="1" applyAlignment="1">
      <alignment horizontal="center" vertical="center" wrapText="1"/>
    </xf>
    <xf numFmtId="3" fontId="24" fillId="0" borderId="1" xfId="0" applyNumberFormat="1" applyFont="1" applyBorder="1" applyAlignment="1">
      <alignment horizontal="center" vertical="center" wrapText="1"/>
    </xf>
    <xf numFmtId="0" fontId="22" fillId="0" borderId="1" xfId="0" applyFont="1" applyBorder="1" applyAlignment="1">
      <alignment horizontal="left" vertical="center" wrapText="1"/>
    </xf>
    <xf numFmtId="0" fontId="22" fillId="0" borderId="1" xfId="0" applyFont="1" applyBorder="1" applyAlignment="1">
      <alignment horizontal="center" vertical="center" wrapText="1"/>
    </xf>
    <xf numFmtId="164" fontId="22" fillId="0" borderId="1" xfId="0" applyNumberFormat="1" applyFont="1" applyBorder="1" applyAlignment="1">
      <alignment horizontal="right" vertical="center" wrapText="1"/>
    </xf>
    <xf numFmtId="164" fontId="22" fillId="2" borderId="1" xfId="0" applyNumberFormat="1" applyFont="1" applyFill="1" applyBorder="1" applyAlignment="1">
      <alignment horizontal="right" vertical="center" wrapText="1"/>
    </xf>
    <xf numFmtId="0" fontId="22" fillId="5" borderId="1" xfId="0" applyFont="1" applyFill="1" applyBorder="1" applyAlignment="1">
      <alignment horizontal="left" vertical="center" wrapText="1"/>
    </xf>
    <xf numFmtId="164" fontId="22" fillId="0" borderId="1" xfId="0" applyNumberFormat="1" applyFont="1" applyBorder="1" applyAlignment="1">
      <alignment vertical="center" wrapText="1"/>
    </xf>
    <xf numFmtId="164" fontId="22" fillId="2" borderId="1" xfId="0" applyNumberFormat="1" applyFont="1" applyFill="1" applyBorder="1" applyAlignment="1">
      <alignment vertical="center" wrapText="1"/>
    </xf>
    <xf numFmtId="43" fontId="24" fillId="0" borderId="1" xfId="0" applyNumberFormat="1" applyFont="1" applyBorder="1" applyAlignment="1">
      <alignment vertical="center" wrapText="1"/>
    </xf>
    <xf numFmtId="0" fontId="6" fillId="0" borderId="0" xfId="0" applyFont="1" applyAlignment="1"/>
    <xf numFmtId="0" fontId="6" fillId="0" borderId="0" xfId="0" applyFont="1" applyAlignment="1">
      <alignment horizontal="center"/>
    </xf>
    <xf numFmtId="0" fontId="6" fillId="0" borderId="1" xfId="0" applyFont="1" applyBorder="1" applyAlignment="1">
      <alignment horizontal="center"/>
    </xf>
    <xf numFmtId="3" fontId="6" fillId="0" borderId="1" xfId="0" applyNumberFormat="1" applyFont="1" applyBorder="1" applyAlignment="1">
      <alignment horizontal="center" wrapText="1"/>
    </xf>
    <xf numFmtId="0" fontId="1" fillId="0" borderId="1" xfId="0" applyFont="1" applyBorder="1" applyAlignment="1"/>
    <xf numFmtId="164" fontId="1" fillId="0" borderId="1" xfId="0" applyNumberFormat="1" applyFont="1" applyBorder="1" applyAlignment="1"/>
    <xf numFmtId="164" fontId="1" fillId="0" borderId="1" xfId="0" applyNumberFormat="1" applyFont="1" applyBorder="1" applyAlignment="1">
      <alignment horizontal="center"/>
    </xf>
    <xf numFmtId="0" fontId="6" fillId="0" borderId="1" xfId="0" applyFont="1" applyBorder="1" applyAlignment="1"/>
    <xf numFmtId="164" fontId="6" fillId="0" borderId="1" xfId="0" applyNumberFormat="1" applyFont="1" applyBorder="1" applyAlignment="1">
      <alignment horizontal="center"/>
    </xf>
    <xf numFmtId="0" fontId="5" fillId="0" borderId="1" xfId="0" applyFont="1" applyBorder="1" applyAlignment="1">
      <alignment horizontal="left" vertical="center" wrapText="1"/>
    </xf>
    <xf numFmtId="167" fontId="6" fillId="0" borderId="1" xfId="0" applyNumberFormat="1" applyFont="1" applyBorder="1" applyAlignment="1"/>
    <xf numFmtId="167" fontId="6" fillId="0" borderId="1" xfId="0" applyNumberFormat="1" applyFont="1" applyBorder="1" applyAlignment="1">
      <alignment horizontal="center"/>
    </xf>
    <xf numFmtId="0" fontId="5" fillId="8" borderId="1" xfId="0" applyFont="1" applyFill="1" applyBorder="1" applyAlignment="1">
      <alignment horizontal="left" vertical="center" wrapText="1"/>
    </xf>
    <xf numFmtId="164" fontId="20" fillId="8" borderId="1" xfId="0" applyNumberFormat="1" applyFont="1" applyFill="1" applyBorder="1" applyAlignment="1"/>
    <xf numFmtId="164" fontId="20" fillId="8" borderId="1" xfId="0" applyNumberFormat="1" applyFont="1" applyFill="1" applyBorder="1" applyAlignment="1">
      <alignment horizontal="center"/>
    </xf>
    <xf numFmtId="164" fontId="6" fillId="0" borderId="1" xfId="0" applyNumberFormat="1" applyFont="1" applyBorder="1" applyAlignment="1"/>
    <xf numFmtId="164" fontId="13" fillId="0" borderId="1" xfId="0" applyNumberFormat="1" applyFont="1" applyBorder="1" applyAlignment="1">
      <alignment horizontal="center"/>
    </xf>
    <xf numFmtId="0" fontId="1" fillId="8" borderId="1" xfId="0" applyFont="1" applyFill="1" applyBorder="1" applyAlignment="1">
      <alignment horizontal="center"/>
    </xf>
    <xf numFmtId="0" fontId="6" fillId="8" borderId="1" xfId="0" applyFont="1" applyFill="1" applyBorder="1" applyAlignment="1"/>
    <xf numFmtId="0" fontId="6" fillId="8" borderId="1" xfId="0" applyFont="1" applyFill="1" applyBorder="1" applyAlignment="1">
      <alignment vertical="center"/>
    </xf>
    <xf numFmtId="0" fontId="0" fillId="0" borderId="0" xfId="0" applyFont="1" applyAlignment="1"/>
    <xf numFmtId="0" fontId="6" fillId="0" borderId="18" xfId="0" applyFont="1" applyBorder="1" applyAlignment="1">
      <alignment horizontal="center" vertical="center"/>
    </xf>
    <xf numFmtId="0" fontId="0" fillId="0" borderId="0" xfId="0" applyFont="1" applyAlignment="1"/>
    <xf numFmtId="0" fontId="3" fillId="6" borderId="18" xfId="0" applyFont="1" applyFill="1" applyBorder="1" applyAlignment="1">
      <alignment horizontal="center" vertical="center" wrapText="1"/>
    </xf>
    <xf numFmtId="0" fontId="4" fillId="5" borderId="18" xfId="0" applyFont="1" applyFill="1" applyBorder="1" applyAlignment="1">
      <alignment horizontal="center" vertical="center"/>
    </xf>
    <xf numFmtId="0" fontId="6" fillId="0" borderId="18" xfId="0" applyFont="1" applyBorder="1" applyAlignment="1">
      <alignment horizontal="left" vertical="center" wrapText="1"/>
    </xf>
    <xf numFmtId="0" fontId="6" fillId="0" borderId="18" xfId="0" applyFont="1" applyBorder="1" applyAlignment="1">
      <alignment horizontal="center" vertical="center" wrapText="1"/>
    </xf>
    <xf numFmtId="0" fontId="4" fillId="5" borderId="18" xfId="0" applyFont="1" applyFill="1" applyBorder="1" applyAlignment="1">
      <alignment horizontal="center" vertical="center" wrapText="1"/>
    </xf>
    <xf numFmtId="0" fontId="6" fillId="0" borderId="18" xfId="0" applyFont="1" applyBorder="1" applyAlignment="1">
      <alignment vertical="center" wrapText="1"/>
    </xf>
    <xf numFmtId="0" fontId="4" fillId="0" borderId="18" xfId="0" applyFont="1" applyBorder="1" applyAlignment="1">
      <alignment vertical="center" wrapText="1"/>
    </xf>
    <xf numFmtId="0" fontId="4" fillId="0" borderId="18" xfId="0" applyFont="1" applyBorder="1" applyAlignment="1">
      <alignment horizontal="center" vertical="center" wrapText="1"/>
    </xf>
    <xf numFmtId="0" fontId="4" fillId="5" borderId="18" xfId="0" quotePrefix="1" applyFont="1" applyFill="1" applyBorder="1" applyAlignment="1">
      <alignment vertical="center" wrapText="1"/>
    </xf>
    <xf numFmtId="0" fontId="4" fillId="9" borderId="18" xfId="0" quotePrefix="1" applyFont="1" applyFill="1" applyBorder="1" applyAlignment="1">
      <alignment vertical="center" wrapText="1"/>
    </xf>
    <xf numFmtId="0" fontId="3" fillId="5" borderId="18" xfId="0" applyFont="1" applyFill="1" applyBorder="1" applyAlignment="1">
      <alignment horizontal="center" vertical="center" wrapText="1"/>
    </xf>
    <xf numFmtId="0" fontId="6" fillId="0" borderId="18" xfId="0" quotePrefix="1" applyFont="1" applyBorder="1" applyAlignment="1">
      <alignment vertical="center" wrapText="1"/>
    </xf>
    <xf numFmtId="0" fontId="0" fillId="0" borderId="0" xfId="0" applyFont="1" applyAlignment="1"/>
    <xf numFmtId="0" fontId="0" fillId="0" borderId="0" xfId="0" applyFont="1" applyAlignment="1"/>
    <xf numFmtId="0" fontId="4" fillId="0" borderId="20" xfId="0" quotePrefix="1" applyFont="1" applyBorder="1" applyAlignment="1">
      <alignment vertical="center" wrapText="1"/>
    </xf>
    <xf numFmtId="0" fontId="4" fillId="9" borderId="20" xfId="0" quotePrefix="1" applyFont="1" applyFill="1" applyBorder="1" applyAlignment="1">
      <alignment vertical="center" wrapText="1"/>
    </xf>
    <xf numFmtId="0" fontId="16" fillId="0" borderId="13" xfId="0" applyFont="1" applyBorder="1" applyAlignment="1">
      <alignment horizontal="center" vertical="center"/>
    </xf>
    <xf numFmtId="0" fontId="6" fillId="0" borderId="13" xfId="0" applyFont="1" applyBorder="1" applyAlignment="1">
      <alignment vertical="center"/>
    </xf>
    <xf numFmtId="0" fontId="6" fillId="0" borderId="13" xfId="0" applyFont="1" applyBorder="1" applyAlignment="1">
      <alignment vertical="center" wrapText="1"/>
    </xf>
    <xf numFmtId="0" fontId="6" fillId="0" borderId="18" xfId="0" applyFont="1" applyBorder="1" applyAlignment="1">
      <alignment horizontal="left" vertical="center"/>
    </xf>
    <xf numFmtId="0" fontId="0" fillId="0" borderId="0" xfId="0" applyFont="1" applyAlignment="1"/>
    <xf numFmtId="0" fontId="6" fillId="0" borderId="20" xfId="0" applyFont="1" applyBorder="1" applyAlignment="1">
      <alignment vertical="center" wrapText="1"/>
    </xf>
    <xf numFmtId="0" fontId="13" fillId="0" borderId="18" xfId="0" applyFont="1" applyBorder="1" applyAlignment="1">
      <alignment vertical="center" wrapText="1"/>
    </xf>
    <xf numFmtId="0" fontId="4" fillId="0" borderId="5" xfId="1" applyFont="1" applyAlignment="1">
      <alignment vertical="center"/>
    </xf>
    <xf numFmtId="0" fontId="6" fillId="0" borderId="5" xfId="1"/>
    <xf numFmtId="0" fontId="3" fillId="0" borderId="5" xfId="1" applyFont="1" applyAlignment="1">
      <alignment horizontal="center" vertical="center" wrapText="1"/>
    </xf>
    <xf numFmtId="0" fontId="3" fillId="0" borderId="5" xfId="1" applyFont="1" applyAlignment="1">
      <alignment horizontal="center" vertical="center"/>
    </xf>
    <xf numFmtId="0" fontId="4" fillId="0" borderId="1" xfId="1" applyFont="1" applyBorder="1" applyAlignment="1">
      <alignment horizontal="center" vertical="center"/>
    </xf>
    <xf numFmtId="0" fontId="3" fillId="0" borderId="1" xfId="1" applyFont="1" applyBorder="1" applyAlignment="1">
      <alignment horizontal="center" vertical="center" wrapText="1"/>
    </xf>
    <xf numFmtId="0" fontId="4" fillId="0" borderId="1" xfId="1" applyFont="1" applyBorder="1" applyAlignment="1">
      <alignment horizontal="left" vertical="center" wrapText="1"/>
    </xf>
    <xf numFmtId="0" fontId="4" fillId="0" borderId="1" xfId="1" applyFont="1" applyBorder="1" applyAlignment="1">
      <alignment horizontal="center" vertical="center" wrapText="1"/>
    </xf>
    <xf numFmtId="2" fontId="4" fillId="0" borderId="1" xfId="1" applyNumberFormat="1" applyFont="1" applyBorder="1" applyAlignment="1">
      <alignment horizontal="right" vertical="center" wrapText="1"/>
    </xf>
    <xf numFmtId="0" fontId="5" fillId="0" borderId="1" xfId="1" applyFont="1" applyBorder="1" applyAlignment="1">
      <alignment horizontal="center" vertical="center" wrapText="1"/>
    </xf>
    <xf numFmtId="3" fontId="4" fillId="0" borderId="1" xfId="1" applyNumberFormat="1" applyFont="1" applyBorder="1" applyAlignment="1">
      <alignment horizontal="right" vertical="center" wrapText="1"/>
    </xf>
    <xf numFmtId="168" fontId="4" fillId="0" borderId="1" xfId="1" applyNumberFormat="1" applyFont="1" applyBorder="1" applyAlignment="1">
      <alignment horizontal="center" vertical="center" wrapText="1"/>
    </xf>
    <xf numFmtId="164" fontId="4" fillId="0" borderId="1" xfId="1" applyNumberFormat="1" applyFont="1" applyBorder="1" applyAlignment="1">
      <alignment horizontal="right" vertical="center" wrapText="1"/>
    </xf>
    <xf numFmtId="0" fontId="3" fillId="0" borderId="1" xfId="1" applyFont="1" applyBorder="1" applyAlignment="1">
      <alignment horizontal="left" vertical="center" wrapText="1"/>
    </xf>
    <xf numFmtId="164" fontId="3" fillId="0" borderId="1" xfId="1" applyNumberFormat="1" applyFont="1" applyBorder="1" applyAlignment="1">
      <alignment horizontal="right" vertical="center" wrapText="1"/>
    </xf>
    <xf numFmtId="0" fontId="4" fillId="0" borderId="5" xfId="1" applyFont="1" applyAlignment="1">
      <alignment vertical="center" wrapText="1"/>
    </xf>
    <xf numFmtId="0" fontId="4" fillId="0" borderId="5" xfId="1" applyFont="1" applyAlignment="1">
      <alignment horizontal="center" vertical="center"/>
    </xf>
    <xf numFmtId="3" fontId="4" fillId="0" borderId="5" xfId="1" applyNumberFormat="1" applyFont="1" applyAlignment="1">
      <alignment vertical="center"/>
    </xf>
    <xf numFmtId="166" fontId="4" fillId="0" borderId="5" xfId="1" applyNumberFormat="1" applyFont="1" applyAlignment="1">
      <alignment horizontal="right" vertical="center" wrapText="1"/>
    </xf>
    <xf numFmtId="0" fontId="4" fillId="0" borderId="5" xfId="1" applyFont="1" applyAlignment="1">
      <alignment horizontal="left" vertical="center" wrapText="1"/>
    </xf>
    <xf numFmtId="164" fontId="4" fillId="0" borderId="5" xfId="1" applyNumberFormat="1" applyFont="1" applyAlignment="1">
      <alignment vertical="center"/>
    </xf>
    <xf numFmtId="43" fontId="4" fillId="0" borderId="5" xfId="1" applyNumberFormat="1" applyFont="1" applyAlignment="1">
      <alignment vertical="center"/>
    </xf>
    <xf numFmtId="0" fontId="3" fillId="0" borderId="1" xfId="1" applyFont="1" applyBorder="1" applyAlignment="1">
      <alignment vertical="center"/>
    </xf>
    <xf numFmtId="0" fontId="1" fillId="0" borderId="1" xfId="1" applyFont="1" applyBorder="1" applyAlignment="1">
      <alignment horizontal="center" vertical="center"/>
    </xf>
    <xf numFmtId="0" fontId="6" fillId="0" borderId="1" xfId="1" applyBorder="1" applyAlignment="1">
      <alignment horizontal="center" vertical="center" wrapText="1"/>
    </xf>
    <xf numFmtId="0" fontId="6" fillId="0" borderId="1" xfId="1" applyBorder="1" applyAlignment="1">
      <alignment horizontal="center" vertical="center"/>
    </xf>
    <xf numFmtId="0" fontId="4" fillId="0" borderId="5" xfId="1" applyFont="1"/>
    <xf numFmtId="2" fontId="4" fillId="0" borderId="5" xfId="1" applyNumberFormat="1" applyFont="1"/>
    <xf numFmtId="2" fontId="4" fillId="0" borderId="1" xfId="1" applyNumberFormat="1" applyFont="1" applyBorder="1" applyAlignment="1">
      <alignment horizontal="center"/>
    </xf>
    <xf numFmtId="0" fontId="4" fillId="0" borderId="5" xfId="1" applyFont="1" applyAlignment="1">
      <alignment wrapText="1"/>
    </xf>
    <xf numFmtId="0" fontId="4" fillId="0" borderId="5" xfId="1" applyFont="1" applyAlignment="1">
      <alignment horizontal="center"/>
    </xf>
    <xf numFmtId="165" fontId="4" fillId="0" borderId="5" xfId="1" applyNumberFormat="1" applyFont="1"/>
    <xf numFmtId="0" fontId="3" fillId="0" borderId="1" xfId="1" applyFont="1" applyBorder="1"/>
    <xf numFmtId="0" fontId="4" fillId="0" borderId="1" xfId="1" applyFont="1" applyBorder="1"/>
    <xf numFmtId="0" fontId="4" fillId="0" borderId="13" xfId="1" applyFont="1" applyBorder="1" applyAlignment="1">
      <alignment horizontal="center" vertical="center"/>
    </xf>
    <xf numFmtId="0" fontId="3" fillId="0" borderId="13" xfId="1" applyFont="1" applyBorder="1" applyAlignment="1">
      <alignment horizontal="left" vertical="center" wrapText="1"/>
    </xf>
    <xf numFmtId="0" fontId="3" fillId="0" borderId="13" xfId="1" applyFont="1" applyBorder="1" applyAlignment="1">
      <alignment horizontal="center" vertical="center" wrapText="1"/>
    </xf>
    <xf numFmtId="3" fontId="3" fillId="0" borderId="13" xfId="1" applyNumberFormat="1" applyFont="1" applyBorder="1" applyAlignment="1">
      <alignment horizontal="right" vertical="center" wrapText="1"/>
    </xf>
    <xf numFmtId="0" fontId="4" fillId="0" borderId="13" xfId="1" applyFont="1" applyBorder="1" applyAlignment="1">
      <alignment horizontal="center" vertical="center" wrapText="1"/>
    </xf>
    <xf numFmtId="0" fontId="4" fillId="0" borderId="18" xfId="1" applyFont="1" applyBorder="1" applyAlignment="1">
      <alignment horizontal="center" vertical="center"/>
    </xf>
    <xf numFmtId="0" fontId="3" fillId="0" borderId="18" xfId="1" applyFont="1" applyBorder="1" applyAlignment="1">
      <alignment horizontal="left" vertical="center" wrapText="1"/>
    </xf>
    <xf numFmtId="0" fontId="3" fillId="0" borderId="18" xfId="1" applyFont="1" applyBorder="1" applyAlignment="1">
      <alignment horizontal="center" vertical="center" wrapText="1"/>
    </xf>
    <xf numFmtId="3" fontId="3" fillId="0" borderId="18" xfId="1" applyNumberFormat="1" applyFont="1" applyBorder="1" applyAlignment="1">
      <alignment horizontal="right" vertical="center" wrapText="1"/>
    </xf>
    <xf numFmtId="0" fontId="4" fillId="0" borderId="18" xfId="1" applyFont="1" applyBorder="1" applyAlignment="1">
      <alignment horizontal="center" vertical="center" wrapText="1"/>
    </xf>
    <xf numFmtId="0" fontId="0" fillId="0" borderId="0" xfId="0" applyFont="1" applyAlignment="1"/>
    <xf numFmtId="0" fontId="30" fillId="0" borderId="5" xfId="3" applyFont="1" applyAlignment="1">
      <alignment vertical="center" wrapText="1"/>
    </xf>
    <xf numFmtId="0" fontId="32" fillId="0" borderId="24" xfId="2" applyFont="1" applyBorder="1" applyAlignment="1">
      <alignment horizontal="center" vertical="center" wrapText="1"/>
    </xf>
    <xf numFmtId="49" fontId="32" fillId="0" borderId="24" xfId="2" applyNumberFormat="1" applyFont="1" applyBorder="1" applyAlignment="1">
      <alignment horizontal="center" vertical="center" wrapText="1"/>
    </xf>
    <xf numFmtId="0" fontId="32" fillId="0" borderId="19" xfId="2" applyFont="1" applyBorder="1" applyAlignment="1">
      <alignment horizontal="center" vertical="center" wrapText="1"/>
    </xf>
    <xf numFmtId="0" fontId="32" fillId="0" borderId="18" xfId="3" applyFont="1" applyBorder="1" applyAlignment="1">
      <alignment horizontal="center" vertical="center" wrapText="1"/>
    </xf>
    <xf numFmtId="0" fontId="32" fillId="12" borderId="18" xfId="2" applyFont="1" applyFill="1" applyBorder="1" applyAlignment="1">
      <alignment horizontal="center" vertical="center"/>
    </xf>
    <xf numFmtId="49" fontId="32" fillId="12" borderId="18" xfId="2" applyNumberFormat="1" applyFont="1" applyFill="1" applyBorder="1" applyAlignment="1">
      <alignment horizontal="justify" vertical="center" wrapText="1"/>
    </xf>
    <xf numFmtId="49" fontId="32" fillId="12" borderId="18" xfId="2" applyNumberFormat="1" applyFont="1" applyFill="1" applyBorder="1" applyAlignment="1">
      <alignment horizontal="center" vertical="center" wrapText="1"/>
    </xf>
    <xf numFmtId="0" fontId="33" fillId="12" borderId="18" xfId="2" applyFont="1" applyFill="1" applyBorder="1" applyAlignment="1">
      <alignment horizontal="center" vertical="center" wrapText="1"/>
    </xf>
    <xf numFmtId="3" fontId="2" fillId="12" borderId="18" xfId="2" applyNumberFormat="1" applyFont="1" applyFill="1" applyBorder="1" applyAlignment="1">
      <alignment horizontal="right" vertical="center" wrapText="1"/>
    </xf>
    <xf numFmtId="164" fontId="33" fillId="12" borderId="18" xfId="4" applyNumberFormat="1" applyFont="1" applyFill="1" applyBorder="1" applyAlignment="1">
      <alignment horizontal="center" vertical="center" wrapText="1"/>
    </xf>
    <xf numFmtId="0" fontId="33" fillId="12" borderId="18" xfId="2" applyFont="1" applyFill="1" applyBorder="1" applyAlignment="1">
      <alignment horizontal="center" vertical="center"/>
    </xf>
    <xf numFmtId="0" fontId="34" fillId="12" borderId="18" xfId="2" applyFont="1" applyFill="1" applyBorder="1" applyAlignment="1">
      <alignment horizontal="justify" vertical="center" wrapText="1"/>
    </xf>
    <xf numFmtId="49" fontId="33" fillId="12" borderId="18" xfId="2" applyNumberFormat="1" applyFont="1" applyFill="1" applyBorder="1" applyAlignment="1">
      <alignment horizontal="center" vertical="center" wrapText="1"/>
    </xf>
    <xf numFmtId="3" fontId="33" fillId="12" borderId="18" xfId="2" applyNumberFormat="1" applyFont="1" applyFill="1" applyBorder="1" applyAlignment="1">
      <alignment horizontal="right" vertical="center"/>
    </xf>
    <xf numFmtId="0" fontId="33" fillId="12" borderId="18" xfId="3" applyFont="1" applyFill="1" applyBorder="1" applyAlignment="1">
      <alignment horizontal="center" vertical="center" wrapText="1"/>
    </xf>
    <xf numFmtId="49" fontId="34" fillId="12" borderId="18" xfId="2" applyNumberFormat="1" applyFont="1" applyFill="1" applyBorder="1" applyAlignment="1">
      <alignment horizontal="justify" vertical="center" wrapText="1"/>
    </xf>
    <xf numFmtId="0" fontId="34" fillId="0" borderId="5" xfId="3" applyFont="1" applyAlignment="1">
      <alignment vertical="center" wrapText="1"/>
    </xf>
    <xf numFmtId="0" fontId="32" fillId="0" borderId="18" xfId="5" applyFont="1" applyBorder="1" applyAlignment="1">
      <alignment horizontal="center" vertical="center" wrapText="1"/>
    </xf>
    <xf numFmtId="0" fontId="32" fillId="0" borderId="18" xfId="5" applyFont="1" applyBorder="1" applyAlignment="1">
      <alignment vertical="center" wrapText="1"/>
    </xf>
    <xf numFmtId="0" fontId="33" fillId="0" borderId="18" xfId="2" applyFont="1" applyBorder="1" applyAlignment="1">
      <alignment horizontal="center" vertical="center" wrapText="1"/>
    </xf>
    <xf numFmtId="3" fontId="32" fillId="0" borderId="18" xfId="2" applyNumberFormat="1" applyFont="1" applyBorder="1" applyAlignment="1">
      <alignment vertical="center" wrapText="1"/>
    </xf>
    <xf numFmtId="3" fontId="2" fillId="0" borderId="18" xfId="2" applyNumberFormat="1" applyFont="1" applyBorder="1" applyAlignment="1">
      <alignment vertical="center" wrapText="1"/>
    </xf>
    <xf numFmtId="0" fontId="33" fillId="0" borderId="18" xfId="5" applyFont="1" applyBorder="1" applyAlignment="1">
      <alignment horizontal="center" vertical="center" wrapText="1"/>
    </xf>
    <xf numFmtId="0" fontId="32" fillId="0" borderId="18" xfId="2" applyFont="1" applyBorder="1" applyAlignment="1">
      <alignment horizontal="center" vertical="center"/>
    </xf>
    <xf numFmtId="49" fontId="32" fillId="0" borderId="18" xfId="2" applyNumberFormat="1" applyFont="1" applyBorder="1" applyAlignment="1">
      <alignment horizontal="justify" vertical="center" wrapText="1"/>
    </xf>
    <xf numFmtId="49" fontId="32" fillId="0" borderId="18" xfId="2" applyNumberFormat="1" applyFont="1" applyBorder="1" applyAlignment="1">
      <alignment horizontal="center" vertical="center" wrapText="1"/>
    </xf>
    <xf numFmtId="0" fontId="33" fillId="0" borderId="18" xfId="2" applyFont="1" applyBorder="1" applyAlignment="1">
      <alignment horizontal="center" vertical="center"/>
    </xf>
    <xf numFmtId="0" fontId="35" fillId="0" borderId="18" xfId="5" applyFont="1" applyBorder="1" applyAlignment="1">
      <alignment vertical="center" wrapText="1"/>
    </xf>
    <xf numFmtId="0" fontId="35" fillId="0" borderId="18" xfId="5" applyFont="1" applyBorder="1" applyAlignment="1">
      <alignment horizontal="center" vertical="center" wrapText="1"/>
    </xf>
    <xf numFmtId="3" fontId="33" fillId="0" borderId="18" xfId="2" applyNumberFormat="1" applyFont="1" applyBorder="1" applyAlignment="1">
      <alignment vertical="center" wrapText="1"/>
    </xf>
    <xf numFmtId="49" fontId="34" fillId="0" borderId="18" xfId="2" applyNumberFormat="1" applyFont="1" applyBorder="1" applyAlignment="1">
      <alignment horizontal="justify" vertical="center" wrapText="1"/>
    </xf>
    <xf numFmtId="49" fontId="33" fillId="0" borderId="18" xfId="2" applyNumberFormat="1" applyFont="1" applyBorder="1" applyAlignment="1">
      <alignment horizontal="center" vertical="center" wrapText="1"/>
    </xf>
    <xf numFmtId="3" fontId="33" fillId="0" borderId="18" xfId="2" applyNumberFormat="1" applyFont="1" applyBorder="1" applyAlignment="1">
      <alignment horizontal="right" vertical="center"/>
    </xf>
    <xf numFmtId="0" fontId="34" fillId="0" borderId="18" xfId="2" applyFont="1" applyBorder="1" applyAlignment="1">
      <alignment horizontal="center" vertical="center"/>
    </xf>
    <xf numFmtId="49" fontId="33" fillId="0" borderId="18" xfId="2" applyNumberFormat="1" applyFont="1" applyBorder="1" applyAlignment="1">
      <alignment horizontal="justify" vertical="center" wrapText="1"/>
    </xf>
    <xf numFmtId="0" fontId="33" fillId="0" borderId="18" xfId="3" applyFont="1" applyBorder="1" applyAlignment="1">
      <alignment horizontal="center" vertical="center" wrapText="1"/>
    </xf>
    <xf numFmtId="0" fontId="33" fillId="0" borderId="18" xfId="3" applyFont="1" applyBorder="1" applyAlignment="1">
      <alignment horizontal="justify" vertical="center" wrapText="1"/>
    </xf>
    <xf numFmtId="0" fontId="32" fillId="0" borderId="18" xfId="3" applyFont="1" applyBorder="1" applyAlignment="1">
      <alignment vertical="center"/>
    </xf>
    <xf numFmtId="3" fontId="32" fillId="0" borderId="18" xfId="2" applyNumberFormat="1" applyFont="1" applyBorder="1" applyAlignment="1">
      <alignment horizontal="right" vertical="center" wrapText="1"/>
    </xf>
    <xf numFmtId="0" fontId="33" fillId="0" borderId="18" xfId="3" applyFont="1" applyBorder="1" applyAlignment="1">
      <alignment vertical="center" wrapText="1"/>
    </xf>
    <xf numFmtId="0" fontId="32" fillId="0" borderId="21" xfId="2" applyFont="1" applyBorder="1" applyAlignment="1">
      <alignment horizontal="center" vertical="center"/>
    </xf>
    <xf numFmtId="0" fontId="32" fillId="0" borderId="18" xfId="2" applyFont="1" applyBorder="1" applyAlignment="1">
      <alignment vertical="center"/>
    </xf>
    <xf numFmtId="0" fontId="30" fillId="0" borderId="5" xfId="3" applyFont="1" applyAlignment="1">
      <alignment horizontal="center" vertical="center" wrapText="1"/>
    </xf>
    <xf numFmtId="0" fontId="33" fillId="0" borderId="18" xfId="3" applyFont="1" applyFill="1" applyBorder="1" applyAlignment="1">
      <alignment horizontal="justify" vertical="center" wrapText="1"/>
    </xf>
    <xf numFmtId="3" fontId="30" fillId="0" borderId="5" xfId="3" applyNumberFormat="1" applyFont="1" applyAlignment="1">
      <alignment vertical="center" wrapText="1"/>
    </xf>
    <xf numFmtId="0" fontId="2" fillId="0" borderId="5" xfId="2" applyFont="1" applyAlignment="1">
      <alignment horizontal="center" vertical="center" wrapText="1"/>
    </xf>
    <xf numFmtId="0" fontId="31" fillId="0" borderId="23" xfId="2" applyFont="1" applyBorder="1" applyAlignment="1">
      <alignment horizontal="right" vertical="center"/>
    </xf>
    <xf numFmtId="49" fontId="32" fillId="0" borderId="19" xfId="2" applyNumberFormat="1" applyFont="1" applyBorder="1" applyAlignment="1">
      <alignment horizontal="center" vertical="center" wrapText="1"/>
    </xf>
    <xf numFmtId="49" fontId="32" fillId="0" borderId="20" xfId="2" applyNumberFormat="1" applyFont="1" applyBorder="1" applyAlignment="1">
      <alignment horizontal="center" vertical="center" wrapText="1"/>
    </xf>
    <xf numFmtId="49" fontId="32" fillId="0" borderId="21" xfId="2" applyNumberFormat="1" applyFont="1" applyBorder="1" applyAlignment="1">
      <alignment horizontal="center" vertical="center" wrapText="1"/>
    </xf>
    <xf numFmtId="0" fontId="32" fillId="0" borderId="19" xfId="2" applyFont="1" applyBorder="1" applyAlignment="1">
      <alignment horizontal="center" vertical="center"/>
    </xf>
    <xf numFmtId="0" fontId="32" fillId="0" borderId="20" xfId="2" applyFont="1" applyBorder="1" applyAlignment="1">
      <alignment horizontal="center" vertical="center"/>
    </xf>
    <xf numFmtId="0" fontId="32" fillId="0" borderId="21" xfId="2" applyFont="1" applyBorder="1" applyAlignment="1">
      <alignment horizontal="center" vertical="center"/>
    </xf>
    <xf numFmtId="0" fontId="31" fillId="0" borderId="19" xfId="2" applyFont="1" applyBorder="1" applyAlignment="1">
      <alignment horizontal="center" vertical="center"/>
    </xf>
    <xf numFmtId="0" fontId="36" fillId="0" borderId="20" xfId="2" applyFont="1" applyBorder="1" applyAlignment="1">
      <alignment horizontal="center" vertical="center"/>
    </xf>
    <xf numFmtId="0" fontId="36" fillId="0" borderId="21" xfId="2" applyFont="1" applyBorder="1" applyAlignment="1">
      <alignment horizontal="center" vertical="center"/>
    </xf>
    <xf numFmtId="0" fontId="7" fillId="0" borderId="0" xfId="0" applyFont="1" applyAlignment="1">
      <alignment horizontal="center" vertical="center"/>
    </xf>
    <xf numFmtId="0" fontId="0" fillId="0" borderId="0" xfId="0" applyFont="1" applyAlignment="1"/>
    <xf numFmtId="0" fontId="8" fillId="0" borderId="0" xfId="0" applyFont="1" applyAlignment="1">
      <alignment horizontal="center" vertical="center"/>
    </xf>
    <xf numFmtId="0" fontId="6" fillId="0" borderId="2" xfId="0" applyFont="1" applyBorder="1" applyAlignment="1">
      <alignment horizontal="left" vertical="center" wrapText="1"/>
    </xf>
    <xf numFmtId="0" fontId="9" fillId="0" borderId="3" xfId="0" applyFont="1" applyBorder="1"/>
    <xf numFmtId="0" fontId="9" fillId="0" borderId="4" xfId="0" applyFont="1" applyBorder="1"/>
    <xf numFmtId="0" fontId="3" fillId="10" borderId="19" xfId="0" applyFont="1" applyFill="1" applyBorder="1" applyAlignment="1">
      <alignment horizontal="left" vertical="center"/>
    </xf>
    <xf numFmtId="0" fontId="3" fillId="10" borderId="20" xfId="0" applyFont="1" applyFill="1" applyBorder="1" applyAlignment="1">
      <alignment horizontal="left" vertical="center"/>
    </xf>
    <xf numFmtId="0" fontId="3" fillId="10" borderId="21" xfId="0" applyFont="1" applyFill="1" applyBorder="1" applyAlignment="1">
      <alignment horizontal="left" vertical="center"/>
    </xf>
    <xf numFmtId="0" fontId="12" fillId="0" borderId="0" xfId="0" applyFont="1" applyAlignment="1">
      <alignment horizontal="center" vertical="center" wrapText="1"/>
    </xf>
    <xf numFmtId="0" fontId="2" fillId="0" borderId="0" xfId="0" applyFont="1" applyAlignment="1">
      <alignment horizontal="center" vertical="center" wrapText="1"/>
    </xf>
    <xf numFmtId="0" fontId="3" fillId="10" borderId="18" xfId="0" applyFont="1" applyFill="1" applyBorder="1" applyAlignment="1">
      <alignment horizontal="left" vertical="center"/>
    </xf>
    <xf numFmtId="0" fontId="3" fillId="11" borderId="18" xfId="0" applyFont="1" applyFill="1" applyBorder="1" applyAlignment="1">
      <alignment vertical="center"/>
    </xf>
    <xf numFmtId="0" fontId="6" fillId="0" borderId="2" xfId="0" applyFont="1" applyBorder="1" applyAlignment="1">
      <alignment horizontal="center" vertical="center"/>
    </xf>
    <xf numFmtId="0" fontId="6" fillId="0" borderId="2" xfId="0" applyFont="1" applyBorder="1" applyAlignment="1">
      <alignment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20" fillId="5" borderId="14" xfId="0" applyFont="1" applyFill="1" applyBorder="1" applyAlignment="1">
      <alignment horizontal="left" vertical="center" wrapText="1"/>
    </xf>
    <xf numFmtId="0" fontId="9" fillId="0" borderId="15" xfId="0" applyFont="1" applyBorder="1"/>
    <xf numFmtId="0" fontId="9" fillId="0" borderId="17" xfId="0" applyFont="1" applyBorder="1"/>
    <xf numFmtId="0" fontId="1" fillId="5" borderId="2" xfId="0" applyFont="1" applyFill="1" applyBorder="1" applyAlignment="1">
      <alignment vertical="center" wrapText="1"/>
    </xf>
    <xf numFmtId="0" fontId="1" fillId="0" borderId="7" xfId="1" applyFont="1" applyBorder="1" applyAlignment="1">
      <alignment horizontal="center" vertical="center" wrapText="1"/>
    </xf>
    <xf numFmtId="0" fontId="4" fillId="0" borderId="8" xfId="1" applyFont="1" applyBorder="1"/>
    <xf numFmtId="0" fontId="4" fillId="0" borderId="16" xfId="1" applyFont="1" applyBorder="1"/>
    <xf numFmtId="0" fontId="3" fillId="0" borderId="5" xfId="1" applyFont="1" applyAlignment="1">
      <alignment horizontal="center" vertical="center"/>
    </xf>
    <xf numFmtId="0" fontId="6" fillId="0" borderId="5" xfId="1"/>
    <xf numFmtId="0" fontId="3" fillId="0" borderId="22" xfId="1" applyFont="1" applyBorder="1" applyAlignment="1">
      <alignment horizontal="right" vertical="center"/>
    </xf>
    <xf numFmtId="0" fontId="4" fillId="0" borderId="22" xfId="1" applyFont="1" applyBorder="1"/>
    <xf numFmtId="0" fontId="3" fillId="0" borderId="7" xfId="1" applyFont="1" applyBorder="1" applyAlignment="1">
      <alignment horizontal="center" vertical="center" wrapText="1"/>
    </xf>
    <xf numFmtId="0" fontId="4" fillId="0" borderId="13" xfId="1" applyFont="1" applyBorder="1" applyAlignment="1">
      <alignment horizontal="center" vertical="center" wrapText="1"/>
    </xf>
    <xf numFmtId="0" fontId="4" fillId="0" borderId="3" xfId="1" applyFont="1" applyBorder="1" applyAlignment="1">
      <alignment horizontal="center"/>
    </xf>
    <xf numFmtId="0" fontId="3" fillId="0" borderId="7" xfId="1" applyFont="1" applyBorder="1" applyAlignment="1">
      <alignment horizontal="center" wrapText="1"/>
    </xf>
    <xf numFmtId="0" fontId="6" fillId="0" borderId="7" xfId="1" applyBorder="1" applyAlignment="1">
      <alignment horizontal="left" vertical="center" wrapText="1"/>
    </xf>
    <xf numFmtId="0" fontId="4" fillId="0" borderId="7" xfId="1" applyFont="1" applyBorder="1" applyAlignment="1">
      <alignment horizontal="left"/>
    </xf>
    <xf numFmtId="0" fontId="3" fillId="0" borderId="5" xfId="1" applyFont="1" applyAlignment="1">
      <alignment horizontal="center"/>
    </xf>
    <xf numFmtId="0" fontId="3" fillId="0" borderId="7" xfId="1" applyFont="1" applyBorder="1" applyAlignment="1">
      <alignment horizontal="left"/>
    </xf>
    <xf numFmtId="0" fontId="3" fillId="0" borderId="7" xfId="1" applyFont="1" applyBorder="1" applyAlignment="1">
      <alignment horizontal="center"/>
    </xf>
    <xf numFmtId="0" fontId="4" fillId="0" borderId="7" xfId="1" applyFont="1" applyBorder="1" applyAlignment="1">
      <alignment horizontal="left" wrapText="1"/>
    </xf>
    <xf numFmtId="0" fontId="4" fillId="0" borderId="7" xfId="1" applyFont="1" applyBorder="1" applyAlignment="1">
      <alignment horizontal="center" wrapText="1"/>
    </xf>
    <xf numFmtId="0" fontId="4" fillId="0" borderId="7" xfId="1" applyFont="1" applyBorder="1" applyAlignment="1">
      <alignment horizontal="center"/>
    </xf>
    <xf numFmtId="0" fontId="2" fillId="0" borderId="0" xfId="0" applyFont="1" applyAlignment="1">
      <alignment horizontal="center" vertical="center"/>
    </xf>
    <xf numFmtId="0" fontId="6" fillId="8" borderId="7" xfId="0" applyFont="1" applyFill="1" applyBorder="1" applyAlignment="1">
      <alignment horizontal="left"/>
    </xf>
    <xf numFmtId="0" fontId="9" fillId="0" borderId="8" xfId="0" applyFont="1" applyBorder="1"/>
    <xf numFmtId="0" fontId="9" fillId="0" borderId="9" xfId="0" applyFont="1" applyBorder="1"/>
    <xf numFmtId="0" fontId="26" fillId="0" borderId="0" xfId="0" applyFont="1" applyAlignment="1">
      <alignment horizontal="left"/>
    </xf>
    <xf numFmtId="0" fontId="1" fillId="8" borderId="7" xfId="0" applyFont="1" applyFill="1" applyBorder="1" applyAlignment="1">
      <alignment horizontal="center"/>
    </xf>
    <xf numFmtId="0" fontId="6" fillId="0" borderId="7" xfId="0" applyFont="1" applyBorder="1" applyAlignment="1">
      <alignment horizontal="left"/>
    </xf>
    <xf numFmtId="0" fontId="8" fillId="0" borderId="0" xfId="0" applyFont="1" applyAlignment="1">
      <alignment horizontal="center"/>
    </xf>
    <xf numFmtId="0" fontId="6" fillId="0" borderId="2" xfId="0" applyFont="1" applyBorder="1" applyAlignment="1">
      <alignment horizontal="left" wrapText="1"/>
    </xf>
    <xf numFmtId="0" fontId="6" fillId="8" borderId="7" xfId="0" applyFont="1" applyFill="1" applyBorder="1" applyAlignment="1">
      <alignment horizontal="left" vertical="center" wrapText="1"/>
    </xf>
    <xf numFmtId="0" fontId="6" fillId="0" borderId="7" xfId="0" applyFont="1" applyBorder="1" applyAlignment="1">
      <alignment horizontal="center" wrapText="1"/>
    </xf>
    <xf numFmtId="0" fontId="6" fillId="8" borderId="7" xfId="0" applyFont="1" applyFill="1" applyBorder="1" applyAlignment="1">
      <alignment horizontal="left" wrapText="1"/>
    </xf>
    <xf numFmtId="0" fontId="6" fillId="0" borderId="7" xfId="0" applyFont="1" applyBorder="1" applyAlignment="1">
      <alignment horizontal="left" wrapText="1"/>
    </xf>
    <xf numFmtId="0" fontId="6" fillId="0" borderId="7" xfId="0" applyFont="1" applyBorder="1" applyAlignment="1">
      <alignment horizontal="left" vertical="center" wrapText="1"/>
    </xf>
    <xf numFmtId="0" fontId="17" fillId="0" borderId="18" xfId="0" applyFont="1" applyBorder="1" applyAlignment="1">
      <alignment vertical="center" wrapText="1"/>
    </xf>
    <xf numFmtId="0" fontId="17" fillId="0" borderId="18" xfId="0" applyFont="1" applyBorder="1" applyAlignment="1">
      <alignment horizontal="center" vertical="center" wrapText="1"/>
    </xf>
    <xf numFmtId="0" fontId="17" fillId="9" borderId="18" xfId="0" quotePrefix="1" applyFont="1" applyFill="1" applyBorder="1" applyAlignment="1">
      <alignment vertical="center" wrapText="1"/>
    </xf>
    <xf numFmtId="0" fontId="17" fillId="5" borderId="18" xfId="0" applyFont="1" applyFill="1" applyBorder="1" applyAlignment="1">
      <alignment horizontal="center" vertical="center" wrapText="1"/>
    </xf>
    <xf numFmtId="0" fontId="17" fillId="5" borderId="21" xfId="0" applyFont="1" applyFill="1" applyBorder="1" applyAlignment="1">
      <alignment horizontal="center" vertical="center" wrapText="1"/>
    </xf>
  </cellXfs>
  <cellStyles count="6">
    <cellStyle name="Comma 2" xfId="4" xr:uid="{BCAFC99C-8AD4-4D96-8DFD-5129D6095758}"/>
    <cellStyle name="Normal" xfId="0" builtinId="0"/>
    <cellStyle name="Normal 2" xfId="1" xr:uid="{9B2ECE2B-7A00-4952-B070-8079D85F28E3}"/>
    <cellStyle name="Normal 2 2 2" xfId="5" xr:uid="{054537ED-F3DB-4D7E-9312-64A4C98A75F3}"/>
    <cellStyle name="Normal 3" xfId="3" xr:uid="{34F7327A-FC18-44E5-9B3E-E1846443E232}"/>
    <cellStyle name="Normal_091010_Du_toan_trien_khai_chuong_trinh_HT" xfId="2" xr:uid="{2F8CC847-1262-4712-8D35-7B879325986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4B00D-DA62-434F-844B-63207AF989E2}">
  <dimension ref="A2:J24"/>
  <sheetViews>
    <sheetView workbookViewId="0">
      <selection activeCell="F9" sqref="F9"/>
    </sheetView>
  </sheetViews>
  <sheetFormatPr defaultColWidth="9.42578125" defaultRowHeight="18.75" x14ac:dyDescent="0.25"/>
  <cols>
    <col min="1" max="1" width="4.42578125" style="223" bestFit="1" customWidth="1"/>
    <col min="2" max="2" width="49.42578125" style="223" bestFit="1" customWidth="1"/>
    <col min="3" max="3" width="10" style="266" bestFit="1" customWidth="1"/>
    <col min="4" max="4" width="18" style="223" customWidth="1"/>
    <col min="5" max="5" width="16.85546875" style="223" bestFit="1" customWidth="1"/>
    <col min="6" max="6" width="15.28515625" style="223" bestFit="1" customWidth="1"/>
    <col min="7" max="7" width="18.85546875" style="223" bestFit="1" customWidth="1"/>
    <col min="8" max="8" width="30.85546875" style="223" customWidth="1"/>
    <col min="9" max="9" width="9.42578125" style="223"/>
    <col min="10" max="10" width="28.42578125" style="223" bestFit="1" customWidth="1"/>
    <col min="11" max="12" width="10.5703125" style="223" bestFit="1" customWidth="1"/>
    <col min="13" max="255" width="9.42578125" style="223"/>
    <col min="256" max="256" width="7.7109375" style="223" customWidth="1"/>
    <col min="257" max="257" width="49.5703125" style="223" bestFit="1" customWidth="1"/>
    <col min="258" max="258" width="9.42578125" style="223"/>
    <col min="259" max="259" width="22.85546875" style="223" customWidth="1"/>
    <col min="260" max="260" width="19.28515625" style="223" customWidth="1"/>
    <col min="261" max="261" width="18.28515625" style="223" customWidth="1"/>
    <col min="262" max="262" width="19.28515625" style="223" customWidth="1"/>
    <col min="263" max="263" width="22" style="223" customWidth="1"/>
    <col min="264" max="264" width="28" style="223" customWidth="1"/>
    <col min="265" max="265" width="9.42578125" style="223"/>
    <col min="266" max="266" width="22.85546875" style="223" customWidth="1"/>
    <col min="267" max="268" width="10.5703125" style="223" bestFit="1" customWidth="1"/>
    <col min="269" max="511" width="9.42578125" style="223"/>
    <col min="512" max="512" width="7.7109375" style="223" customWidth="1"/>
    <col min="513" max="513" width="49.5703125" style="223" bestFit="1" customWidth="1"/>
    <col min="514" max="514" width="9.42578125" style="223"/>
    <col min="515" max="515" width="22.85546875" style="223" customWidth="1"/>
    <col min="516" max="516" width="19.28515625" style="223" customWidth="1"/>
    <col min="517" max="517" width="18.28515625" style="223" customWidth="1"/>
    <col min="518" max="518" width="19.28515625" style="223" customWidth="1"/>
    <col min="519" max="519" width="22" style="223" customWidth="1"/>
    <col min="520" max="520" width="28" style="223" customWidth="1"/>
    <col min="521" max="521" width="9.42578125" style="223"/>
    <col min="522" max="522" width="22.85546875" style="223" customWidth="1"/>
    <col min="523" max="524" width="10.5703125" style="223" bestFit="1" customWidth="1"/>
    <col min="525" max="767" width="9.42578125" style="223"/>
    <col min="768" max="768" width="7.7109375" style="223" customWidth="1"/>
    <col min="769" max="769" width="49.5703125" style="223" bestFit="1" customWidth="1"/>
    <col min="770" max="770" width="9.42578125" style="223"/>
    <col min="771" max="771" width="22.85546875" style="223" customWidth="1"/>
    <col min="772" max="772" width="19.28515625" style="223" customWidth="1"/>
    <col min="773" max="773" width="18.28515625" style="223" customWidth="1"/>
    <col min="774" max="774" width="19.28515625" style="223" customWidth="1"/>
    <col min="775" max="775" width="22" style="223" customWidth="1"/>
    <col min="776" max="776" width="28" style="223" customWidth="1"/>
    <col min="777" max="777" width="9.42578125" style="223"/>
    <col min="778" max="778" width="22.85546875" style="223" customWidth="1"/>
    <col min="779" max="780" width="10.5703125" style="223" bestFit="1" customWidth="1"/>
    <col min="781" max="1023" width="9.42578125" style="223"/>
    <col min="1024" max="1024" width="7.7109375" style="223" customWidth="1"/>
    <col min="1025" max="1025" width="49.5703125" style="223" bestFit="1" customWidth="1"/>
    <col min="1026" max="1026" width="9.42578125" style="223"/>
    <col min="1027" max="1027" width="22.85546875" style="223" customWidth="1"/>
    <col min="1028" max="1028" width="19.28515625" style="223" customWidth="1"/>
    <col min="1029" max="1029" width="18.28515625" style="223" customWidth="1"/>
    <col min="1030" max="1030" width="19.28515625" style="223" customWidth="1"/>
    <col min="1031" max="1031" width="22" style="223" customWidth="1"/>
    <col min="1032" max="1032" width="28" style="223" customWidth="1"/>
    <col min="1033" max="1033" width="9.42578125" style="223"/>
    <col min="1034" max="1034" width="22.85546875" style="223" customWidth="1"/>
    <col min="1035" max="1036" width="10.5703125" style="223" bestFit="1" customWidth="1"/>
    <col min="1037" max="1279" width="9.42578125" style="223"/>
    <col min="1280" max="1280" width="7.7109375" style="223" customWidth="1"/>
    <col min="1281" max="1281" width="49.5703125" style="223" bestFit="1" customWidth="1"/>
    <col min="1282" max="1282" width="9.42578125" style="223"/>
    <col min="1283" max="1283" width="22.85546875" style="223" customWidth="1"/>
    <col min="1284" max="1284" width="19.28515625" style="223" customWidth="1"/>
    <col min="1285" max="1285" width="18.28515625" style="223" customWidth="1"/>
    <col min="1286" max="1286" width="19.28515625" style="223" customWidth="1"/>
    <col min="1287" max="1287" width="22" style="223" customWidth="1"/>
    <col min="1288" max="1288" width="28" style="223" customWidth="1"/>
    <col min="1289" max="1289" width="9.42578125" style="223"/>
    <col min="1290" max="1290" width="22.85546875" style="223" customWidth="1"/>
    <col min="1291" max="1292" width="10.5703125" style="223" bestFit="1" customWidth="1"/>
    <col min="1293" max="1535" width="9.42578125" style="223"/>
    <col min="1536" max="1536" width="7.7109375" style="223" customWidth="1"/>
    <col min="1537" max="1537" width="49.5703125" style="223" bestFit="1" customWidth="1"/>
    <col min="1538" max="1538" width="9.42578125" style="223"/>
    <col min="1539" max="1539" width="22.85546875" style="223" customWidth="1"/>
    <col min="1540" max="1540" width="19.28515625" style="223" customWidth="1"/>
    <col min="1541" max="1541" width="18.28515625" style="223" customWidth="1"/>
    <col min="1542" max="1542" width="19.28515625" style="223" customWidth="1"/>
    <col min="1543" max="1543" width="22" style="223" customWidth="1"/>
    <col min="1544" max="1544" width="28" style="223" customWidth="1"/>
    <col min="1545" max="1545" width="9.42578125" style="223"/>
    <col min="1546" max="1546" width="22.85546875" style="223" customWidth="1"/>
    <col min="1547" max="1548" width="10.5703125" style="223" bestFit="1" customWidth="1"/>
    <col min="1549" max="1791" width="9.42578125" style="223"/>
    <col min="1792" max="1792" width="7.7109375" style="223" customWidth="1"/>
    <col min="1793" max="1793" width="49.5703125" style="223" bestFit="1" customWidth="1"/>
    <col min="1794" max="1794" width="9.42578125" style="223"/>
    <col min="1795" max="1795" width="22.85546875" style="223" customWidth="1"/>
    <col min="1796" max="1796" width="19.28515625" style="223" customWidth="1"/>
    <col min="1797" max="1797" width="18.28515625" style="223" customWidth="1"/>
    <col min="1798" max="1798" width="19.28515625" style="223" customWidth="1"/>
    <col min="1799" max="1799" width="22" style="223" customWidth="1"/>
    <col min="1800" max="1800" width="28" style="223" customWidth="1"/>
    <col min="1801" max="1801" width="9.42578125" style="223"/>
    <col min="1802" max="1802" width="22.85546875" style="223" customWidth="1"/>
    <col min="1803" max="1804" width="10.5703125" style="223" bestFit="1" customWidth="1"/>
    <col min="1805" max="2047" width="9.42578125" style="223"/>
    <col min="2048" max="2048" width="7.7109375" style="223" customWidth="1"/>
    <col min="2049" max="2049" width="49.5703125" style="223" bestFit="1" customWidth="1"/>
    <col min="2050" max="2050" width="9.42578125" style="223"/>
    <col min="2051" max="2051" width="22.85546875" style="223" customWidth="1"/>
    <col min="2052" max="2052" width="19.28515625" style="223" customWidth="1"/>
    <col min="2053" max="2053" width="18.28515625" style="223" customWidth="1"/>
    <col min="2054" max="2054" width="19.28515625" style="223" customWidth="1"/>
    <col min="2055" max="2055" width="22" style="223" customWidth="1"/>
    <col min="2056" max="2056" width="28" style="223" customWidth="1"/>
    <col min="2057" max="2057" width="9.42578125" style="223"/>
    <col min="2058" max="2058" width="22.85546875" style="223" customWidth="1"/>
    <col min="2059" max="2060" width="10.5703125" style="223" bestFit="1" customWidth="1"/>
    <col min="2061" max="2303" width="9.42578125" style="223"/>
    <col min="2304" max="2304" width="7.7109375" style="223" customWidth="1"/>
    <col min="2305" max="2305" width="49.5703125" style="223" bestFit="1" customWidth="1"/>
    <col min="2306" max="2306" width="9.42578125" style="223"/>
    <col min="2307" max="2307" width="22.85546875" style="223" customWidth="1"/>
    <col min="2308" max="2308" width="19.28515625" style="223" customWidth="1"/>
    <col min="2309" max="2309" width="18.28515625" style="223" customWidth="1"/>
    <col min="2310" max="2310" width="19.28515625" style="223" customWidth="1"/>
    <col min="2311" max="2311" width="22" style="223" customWidth="1"/>
    <col min="2312" max="2312" width="28" style="223" customWidth="1"/>
    <col min="2313" max="2313" width="9.42578125" style="223"/>
    <col min="2314" max="2314" width="22.85546875" style="223" customWidth="1"/>
    <col min="2315" max="2316" width="10.5703125" style="223" bestFit="1" customWidth="1"/>
    <col min="2317" max="2559" width="9.42578125" style="223"/>
    <col min="2560" max="2560" width="7.7109375" style="223" customWidth="1"/>
    <col min="2561" max="2561" width="49.5703125" style="223" bestFit="1" customWidth="1"/>
    <col min="2562" max="2562" width="9.42578125" style="223"/>
    <col min="2563" max="2563" width="22.85546875" style="223" customWidth="1"/>
    <col min="2564" max="2564" width="19.28515625" style="223" customWidth="1"/>
    <col min="2565" max="2565" width="18.28515625" style="223" customWidth="1"/>
    <col min="2566" max="2566" width="19.28515625" style="223" customWidth="1"/>
    <col min="2567" max="2567" width="22" style="223" customWidth="1"/>
    <col min="2568" max="2568" width="28" style="223" customWidth="1"/>
    <col min="2569" max="2569" width="9.42578125" style="223"/>
    <col min="2570" max="2570" width="22.85546875" style="223" customWidth="1"/>
    <col min="2571" max="2572" width="10.5703125" style="223" bestFit="1" customWidth="1"/>
    <col min="2573" max="2815" width="9.42578125" style="223"/>
    <col min="2816" max="2816" width="7.7109375" style="223" customWidth="1"/>
    <col min="2817" max="2817" width="49.5703125" style="223" bestFit="1" customWidth="1"/>
    <col min="2818" max="2818" width="9.42578125" style="223"/>
    <col min="2819" max="2819" width="22.85546875" style="223" customWidth="1"/>
    <col min="2820" max="2820" width="19.28515625" style="223" customWidth="1"/>
    <col min="2821" max="2821" width="18.28515625" style="223" customWidth="1"/>
    <col min="2822" max="2822" width="19.28515625" style="223" customWidth="1"/>
    <col min="2823" max="2823" width="22" style="223" customWidth="1"/>
    <col min="2824" max="2824" width="28" style="223" customWidth="1"/>
    <col min="2825" max="2825" width="9.42578125" style="223"/>
    <col min="2826" max="2826" width="22.85546875" style="223" customWidth="1"/>
    <col min="2827" max="2828" width="10.5703125" style="223" bestFit="1" customWidth="1"/>
    <col min="2829" max="3071" width="9.42578125" style="223"/>
    <col min="3072" max="3072" width="7.7109375" style="223" customWidth="1"/>
    <col min="3073" max="3073" width="49.5703125" style="223" bestFit="1" customWidth="1"/>
    <col min="3074" max="3074" width="9.42578125" style="223"/>
    <col min="3075" max="3075" width="22.85546875" style="223" customWidth="1"/>
    <col min="3076" max="3076" width="19.28515625" style="223" customWidth="1"/>
    <col min="3077" max="3077" width="18.28515625" style="223" customWidth="1"/>
    <col min="3078" max="3078" width="19.28515625" style="223" customWidth="1"/>
    <col min="3079" max="3079" width="22" style="223" customWidth="1"/>
    <col min="3080" max="3080" width="28" style="223" customWidth="1"/>
    <col min="3081" max="3081" width="9.42578125" style="223"/>
    <col min="3082" max="3082" width="22.85546875" style="223" customWidth="1"/>
    <col min="3083" max="3084" width="10.5703125" style="223" bestFit="1" customWidth="1"/>
    <col min="3085" max="3327" width="9.42578125" style="223"/>
    <col min="3328" max="3328" width="7.7109375" style="223" customWidth="1"/>
    <col min="3329" max="3329" width="49.5703125" style="223" bestFit="1" customWidth="1"/>
    <col min="3330" max="3330" width="9.42578125" style="223"/>
    <col min="3331" max="3331" width="22.85546875" style="223" customWidth="1"/>
    <col min="3332" max="3332" width="19.28515625" style="223" customWidth="1"/>
    <col min="3333" max="3333" width="18.28515625" style="223" customWidth="1"/>
    <col min="3334" max="3334" width="19.28515625" style="223" customWidth="1"/>
    <col min="3335" max="3335" width="22" style="223" customWidth="1"/>
    <col min="3336" max="3336" width="28" style="223" customWidth="1"/>
    <col min="3337" max="3337" width="9.42578125" style="223"/>
    <col min="3338" max="3338" width="22.85546875" style="223" customWidth="1"/>
    <col min="3339" max="3340" width="10.5703125" style="223" bestFit="1" customWidth="1"/>
    <col min="3341" max="3583" width="9.42578125" style="223"/>
    <col min="3584" max="3584" width="7.7109375" style="223" customWidth="1"/>
    <col min="3585" max="3585" width="49.5703125" style="223" bestFit="1" customWidth="1"/>
    <col min="3586" max="3586" width="9.42578125" style="223"/>
    <col min="3587" max="3587" width="22.85546875" style="223" customWidth="1"/>
    <col min="3588" max="3588" width="19.28515625" style="223" customWidth="1"/>
    <col min="3589" max="3589" width="18.28515625" style="223" customWidth="1"/>
    <col min="3590" max="3590" width="19.28515625" style="223" customWidth="1"/>
    <col min="3591" max="3591" width="22" style="223" customWidth="1"/>
    <col min="3592" max="3592" width="28" style="223" customWidth="1"/>
    <col min="3593" max="3593" width="9.42578125" style="223"/>
    <col min="3594" max="3594" width="22.85546875" style="223" customWidth="1"/>
    <col min="3595" max="3596" width="10.5703125" style="223" bestFit="1" customWidth="1"/>
    <col min="3597" max="3839" width="9.42578125" style="223"/>
    <col min="3840" max="3840" width="7.7109375" style="223" customWidth="1"/>
    <col min="3841" max="3841" width="49.5703125" style="223" bestFit="1" customWidth="1"/>
    <col min="3842" max="3842" width="9.42578125" style="223"/>
    <col min="3843" max="3843" width="22.85546875" style="223" customWidth="1"/>
    <col min="3844" max="3844" width="19.28515625" style="223" customWidth="1"/>
    <col min="3845" max="3845" width="18.28515625" style="223" customWidth="1"/>
    <col min="3846" max="3846" width="19.28515625" style="223" customWidth="1"/>
    <col min="3847" max="3847" width="22" style="223" customWidth="1"/>
    <col min="3848" max="3848" width="28" style="223" customWidth="1"/>
    <col min="3849" max="3849" width="9.42578125" style="223"/>
    <col min="3850" max="3850" width="22.85546875" style="223" customWidth="1"/>
    <col min="3851" max="3852" width="10.5703125" style="223" bestFit="1" customWidth="1"/>
    <col min="3853" max="4095" width="9.42578125" style="223"/>
    <col min="4096" max="4096" width="7.7109375" style="223" customWidth="1"/>
    <col min="4097" max="4097" width="49.5703125" style="223" bestFit="1" customWidth="1"/>
    <col min="4098" max="4098" width="9.42578125" style="223"/>
    <col min="4099" max="4099" width="22.85546875" style="223" customWidth="1"/>
    <col min="4100" max="4100" width="19.28515625" style="223" customWidth="1"/>
    <col min="4101" max="4101" width="18.28515625" style="223" customWidth="1"/>
    <col min="4102" max="4102" width="19.28515625" style="223" customWidth="1"/>
    <col min="4103" max="4103" width="22" style="223" customWidth="1"/>
    <col min="4104" max="4104" width="28" style="223" customWidth="1"/>
    <col min="4105" max="4105" width="9.42578125" style="223"/>
    <col min="4106" max="4106" width="22.85546875" style="223" customWidth="1"/>
    <col min="4107" max="4108" width="10.5703125" style="223" bestFit="1" customWidth="1"/>
    <col min="4109" max="4351" width="9.42578125" style="223"/>
    <col min="4352" max="4352" width="7.7109375" style="223" customWidth="1"/>
    <col min="4353" max="4353" width="49.5703125" style="223" bestFit="1" customWidth="1"/>
    <col min="4354" max="4354" width="9.42578125" style="223"/>
    <col min="4355" max="4355" width="22.85546875" style="223" customWidth="1"/>
    <col min="4356" max="4356" width="19.28515625" style="223" customWidth="1"/>
    <col min="4357" max="4357" width="18.28515625" style="223" customWidth="1"/>
    <col min="4358" max="4358" width="19.28515625" style="223" customWidth="1"/>
    <col min="4359" max="4359" width="22" style="223" customWidth="1"/>
    <col min="4360" max="4360" width="28" style="223" customWidth="1"/>
    <col min="4361" max="4361" width="9.42578125" style="223"/>
    <col min="4362" max="4362" width="22.85546875" style="223" customWidth="1"/>
    <col min="4363" max="4364" width="10.5703125" style="223" bestFit="1" customWidth="1"/>
    <col min="4365" max="4607" width="9.42578125" style="223"/>
    <col min="4608" max="4608" width="7.7109375" style="223" customWidth="1"/>
    <col min="4609" max="4609" width="49.5703125" style="223" bestFit="1" customWidth="1"/>
    <col min="4610" max="4610" width="9.42578125" style="223"/>
    <col min="4611" max="4611" width="22.85546875" style="223" customWidth="1"/>
    <col min="4612" max="4612" width="19.28515625" style="223" customWidth="1"/>
    <col min="4613" max="4613" width="18.28515625" style="223" customWidth="1"/>
    <col min="4614" max="4614" width="19.28515625" style="223" customWidth="1"/>
    <col min="4615" max="4615" width="22" style="223" customWidth="1"/>
    <col min="4616" max="4616" width="28" style="223" customWidth="1"/>
    <col min="4617" max="4617" width="9.42578125" style="223"/>
    <col min="4618" max="4618" width="22.85546875" style="223" customWidth="1"/>
    <col min="4619" max="4620" width="10.5703125" style="223" bestFit="1" customWidth="1"/>
    <col min="4621" max="4863" width="9.42578125" style="223"/>
    <col min="4864" max="4864" width="7.7109375" style="223" customWidth="1"/>
    <col min="4865" max="4865" width="49.5703125" style="223" bestFit="1" customWidth="1"/>
    <col min="4866" max="4866" width="9.42578125" style="223"/>
    <col min="4867" max="4867" width="22.85546875" style="223" customWidth="1"/>
    <col min="4868" max="4868" width="19.28515625" style="223" customWidth="1"/>
    <col min="4869" max="4869" width="18.28515625" style="223" customWidth="1"/>
    <col min="4870" max="4870" width="19.28515625" style="223" customWidth="1"/>
    <col min="4871" max="4871" width="22" style="223" customWidth="1"/>
    <col min="4872" max="4872" width="28" style="223" customWidth="1"/>
    <col min="4873" max="4873" width="9.42578125" style="223"/>
    <col min="4874" max="4874" width="22.85546875" style="223" customWidth="1"/>
    <col min="4875" max="4876" width="10.5703125" style="223" bestFit="1" customWidth="1"/>
    <col min="4877" max="5119" width="9.42578125" style="223"/>
    <col min="5120" max="5120" width="7.7109375" style="223" customWidth="1"/>
    <col min="5121" max="5121" width="49.5703125" style="223" bestFit="1" customWidth="1"/>
    <col min="5122" max="5122" width="9.42578125" style="223"/>
    <col min="5123" max="5123" width="22.85546875" style="223" customWidth="1"/>
    <col min="5124" max="5124" width="19.28515625" style="223" customWidth="1"/>
    <col min="5125" max="5125" width="18.28515625" style="223" customWidth="1"/>
    <col min="5126" max="5126" width="19.28515625" style="223" customWidth="1"/>
    <col min="5127" max="5127" width="22" style="223" customWidth="1"/>
    <col min="5128" max="5128" width="28" style="223" customWidth="1"/>
    <col min="5129" max="5129" width="9.42578125" style="223"/>
    <col min="5130" max="5130" width="22.85546875" style="223" customWidth="1"/>
    <col min="5131" max="5132" width="10.5703125" style="223" bestFit="1" customWidth="1"/>
    <col min="5133" max="5375" width="9.42578125" style="223"/>
    <col min="5376" max="5376" width="7.7109375" style="223" customWidth="1"/>
    <col min="5377" max="5377" width="49.5703125" style="223" bestFit="1" customWidth="1"/>
    <col min="5378" max="5378" width="9.42578125" style="223"/>
    <col min="5379" max="5379" width="22.85546875" style="223" customWidth="1"/>
    <col min="5380" max="5380" width="19.28515625" style="223" customWidth="1"/>
    <col min="5381" max="5381" width="18.28515625" style="223" customWidth="1"/>
    <col min="5382" max="5382" width="19.28515625" style="223" customWidth="1"/>
    <col min="5383" max="5383" width="22" style="223" customWidth="1"/>
    <col min="5384" max="5384" width="28" style="223" customWidth="1"/>
    <col min="5385" max="5385" width="9.42578125" style="223"/>
    <col min="5386" max="5386" width="22.85546875" style="223" customWidth="1"/>
    <col min="5387" max="5388" width="10.5703125" style="223" bestFit="1" customWidth="1"/>
    <col min="5389" max="5631" width="9.42578125" style="223"/>
    <col min="5632" max="5632" width="7.7109375" style="223" customWidth="1"/>
    <col min="5633" max="5633" width="49.5703125" style="223" bestFit="1" customWidth="1"/>
    <col min="5634" max="5634" width="9.42578125" style="223"/>
    <col min="5635" max="5635" width="22.85546875" style="223" customWidth="1"/>
    <col min="5636" max="5636" width="19.28515625" style="223" customWidth="1"/>
    <col min="5637" max="5637" width="18.28515625" style="223" customWidth="1"/>
    <col min="5638" max="5638" width="19.28515625" style="223" customWidth="1"/>
    <col min="5639" max="5639" width="22" style="223" customWidth="1"/>
    <col min="5640" max="5640" width="28" style="223" customWidth="1"/>
    <col min="5641" max="5641" width="9.42578125" style="223"/>
    <col min="5642" max="5642" width="22.85546875" style="223" customWidth="1"/>
    <col min="5643" max="5644" width="10.5703125" style="223" bestFit="1" customWidth="1"/>
    <col min="5645" max="5887" width="9.42578125" style="223"/>
    <col min="5888" max="5888" width="7.7109375" style="223" customWidth="1"/>
    <col min="5889" max="5889" width="49.5703125" style="223" bestFit="1" customWidth="1"/>
    <col min="5890" max="5890" width="9.42578125" style="223"/>
    <col min="5891" max="5891" width="22.85546875" style="223" customWidth="1"/>
    <col min="5892" max="5892" width="19.28515625" style="223" customWidth="1"/>
    <col min="5893" max="5893" width="18.28515625" style="223" customWidth="1"/>
    <col min="5894" max="5894" width="19.28515625" style="223" customWidth="1"/>
    <col min="5895" max="5895" width="22" style="223" customWidth="1"/>
    <col min="5896" max="5896" width="28" style="223" customWidth="1"/>
    <col min="5897" max="5897" width="9.42578125" style="223"/>
    <col min="5898" max="5898" width="22.85546875" style="223" customWidth="1"/>
    <col min="5899" max="5900" width="10.5703125" style="223" bestFit="1" customWidth="1"/>
    <col min="5901" max="6143" width="9.42578125" style="223"/>
    <col min="6144" max="6144" width="7.7109375" style="223" customWidth="1"/>
    <col min="6145" max="6145" width="49.5703125" style="223" bestFit="1" customWidth="1"/>
    <col min="6146" max="6146" width="9.42578125" style="223"/>
    <col min="6147" max="6147" width="22.85546875" style="223" customWidth="1"/>
    <col min="6148" max="6148" width="19.28515625" style="223" customWidth="1"/>
    <col min="6149" max="6149" width="18.28515625" style="223" customWidth="1"/>
    <col min="6150" max="6150" width="19.28515625" style="223" customWidth="1"/>
    <col min="6151" max="6151" width="22" style="223" customWidth="1"/>
    <col min="6152" max="6152" width="28" style="223" customWidth="1"/>
    <col min="6153" max="6153" width="9.42578125" style="223"/>
    <col min="6154" max="6154" width="22.85546875" style="223" customWidth="1"/>
    <col min="6155" max="6156" width="10.5703125" style="223" bestFit="1" customWidth="1"/>
    <col min="6157" max="6399" width="9.42578125" style="223"/>
    <col min="6400" max="6400" width="7.7109375" style="223" customWidth="1"/>
    <col min="6401" max="6401" width="49.5703125" style="223" bestFit="1" customWidth="1"/>
    <col min="6402" max="6402" width="9.42578125" style="223"/>
    <col min="6403" max="6403" width="22.85546875" style="223" customWidth="1"/>
    <col min="6404" max="6404" width="19.28515625" style="223" customWidth="1"/>
    <col min="6405" max="6405" width="18.28515625" style="223" customWidth="1"/>
    <col min="6406" max="6406" width="19.28515625" style="223" customWidth="1"/>
    <col min="6407" max="6407" width="22" style="223" customWidth="1"/>
    <col min="6408" max="6408" width="28" style="223" customWidth="1"/>
    <col min="6409" max="6409" width="9.42578125" style="223"/>
    <col min="6410" max="6410" width="22.85546875" style="223" customWidth="1"/>
    <col min="6411" max="6412" width="10.5703125" style="223" bestFit="1" customWidth="1"/>
    <col min="6413" max="6655" width="9.42578125" style="223"/>
    <col min="6656" max="6656" width="7.7109375" style="223" customWidth="1"/>
    <col min="6657" max="6657" width="49.5703125" style="223" bestFit="1" customWidth="1"/>
    <col min="6658" max="6658" width="9.42578125" style="223"/>
    <col min="6659" max="6659" width="22.85546875" style="223" customWidth="1"/>
    <col min="6660" max="6660" width="19.28515625" style="223" customWidth="1"/>
    <col min="6661" max="6661" width="18.28515625" style="223" customWidth="1"/>
    <col min="6662" max="6662" width="19.28515625" style="223" customWidth="1"/>
    <col min="6663" max="6663" width="22" style="223" customWidth="1"/>
    <col min="6664" max="6664" width="28" style="223" customWidth="1"/>
    <col min="6665" max="6665" width="9.42578125" style="223"/>
    <col min="6666" max="6666" width="22.85546875" style="223" customWidth="1"/>
    <col min="6667" max="6668" width="10.5703125" style="223" bestFit="1" customWidth="1"/>
    <col min="6669" max="6911" width="9.42578125" style="223"/>
    <col min="6912" max="6912" width="7.7109375" style="223" customWidth="1"/>
    <col min="6913" max="6913" width="49.5703125" style="223" bestFit="1" customWidth="1"/>
    <col min="6914" max="6914" width="9.42578125" style="223"/>
    <col min="6915" max="6915" width="22.85546875" style="223" customWidth="1"/>
    <col min="6916" max="6916" width="19.28515625" style="223" customWidth="1"/>
    <col min="6917" max="6917" width="18.28515625" style="223" customWidth="1"/>
    <col min="6918" max="6918" width="19.28515625" style="223" customWidth="1"/>
    <col min="6919" max="6919" width="22" style="223" customWidth="1"/>
    <col min="6920" max="6920" width="28" style="223" customWidth="1"/>
    <col min="6921" max="6921" width="9.42578125" style="223"/>
    <col min="6922" max="6922" width="22.85546875" style="223" customWidth="1"/>
    <col min="6923" max="6924" width="10.5703125" style="223" bestFit="1" customWidth="1"/>
    <col min="6925" max="7167" width="9.42578125" style="223"/>
    <col min="7168" max="7168" width="7.7109375" style="223" customWidth="1"/>
    <col min="7169" max="7169" width="49.5703125" style="223" bestFit="1" customWidth="1"/>
    <col min="7170" max="7170" width="9.42578125" style="223"/>
    <col min="7171" max="7171" width="22.85546875" style="223" customWidth="1"/>
    <col min="7172" max="7172" width="19.28515625" style="223" customWidth="1"/>
    <col min="7173" max="7173" width="18.28515625" style="223" customWidth="1"/>
    <col min="7174" max="7174" width="19.28515625" style="223" customWidth="1"/>
    <col min="7175" max="7175" width="22" style="223" customWidth="1"/>
    <col min="7176" max="7176" width="28" style="223" customWidth="1"/>
    <col min="7177" max="7177" width="9.42578125" style="223"/>
    <col min="7178" max="7178" width="22.85546875" style="223" customWidth="1"/>
    <col min="7179" max="7180" width="10.5703125" style="223" bestFit="1" customWidth="1"/>
    <col min="7181" max="7423" width="9.42578125" style="223"/>
    <col min="7424" max="7424" width="7.7109375" style="223" customWidth="1"/>
    <col min="7425" max="7425" width="49.5703125" style="223" bestFit="1" customWidth="1"/>
    <col min="7426" max="7426" width="9.42578125" style="223"/>
    <col min="7427" max="7427" width="22.85546875" style="223" customWidth="1"/>
    <col min="7428" max="7428" width="19.28515625" style="223" customWidth="1"/>
    <col min="7429" max="7429" width="18.28515625" style="223" customWidth="1"/>
    <col min="7430" max="7430" width="19.28515625" style="223" customWidth="1"/>
    <col min="7431" max="7431" width="22" style="223" customWidth="1"/>
    <col min="7432" max="7432" width="28" style="223" customWidth="1"/>
    <col min="7433" max="7433" width="9.42578125" style="223"/>
    <col min="7434" max="7434" width="22.85546875" style="223" customWidth="1"/>
    <col min="7435" max="7436" width="10.5703125" style="223" bestFit="1" customWidth="1"/>
    <col min="7437" max="7679" width="9.42578125" style="223"/>
    <col min="7680" max="7680" width="7.7109375" style="223" customWidth="1"/>
    <col min="7681" max="7681" width="49.5703125" style="223" bestFit="1" customWidth="1"/>
    <col min="7682" max="7682" width="9.42578125" style="223"/>
    <col min="7683" max="7683" width="22.85546875" style="223" customWidth="1"/>
    <col min="7684" max="7684" width="19.28515625" style="223" customWidth="1"/>
    <col min="7685" max="7685" width="18.28515625" style="223" customWidth="1"/>
    <col min="7686" max="7686" width="19.28515625" style="223" customWidth="1"/>
    <col min="7687" max="7687" width="22" style="223" customWidth="1"/>
    <col min="7688" max="7688" width="28" style="223" customWidth="1"/>
    <col min="7689" max="7689" width="9.42578125" style="223"/>
    <col min="7690" max="7690" width="22.85546875" style="223" customWidth="1"/>
    <col min="7691" max="7692" width="10.5703125" style="223" bestFit="1" customWidth="1"/>
    <col min="7693" max="7935" width="9.42578125" style="223"/>
    <col min="7936" max="7936" width="7.7109375" style="223" customWidth="1"/>
    <col min="7937" max="7937" width="49.5703125" style="223" bestFit="1" customWidth="1"/>
    <col min="7938" max="7938" width="9.42578125" style="223"/>
    <col min="7939" max="7939" width="22.85546875" style="223" customWidth="1"/>
    <col min="7940" max="7940" width="19.28515625" style="223" customWidth="1"/>
    <col min="7941" max="7941" width="18.28515625" style="223" customWidth="1"/>
    <col min="7942" max="7942" width="19.28515625" style="223" customWidth="1"/>
    <col min="7943" max="7943" width="22" style="223" customWidth="1"/>
    <col min="7944" max="7944" width="28" style="223" customWidth="1"/>
    <col min="7945" max="7945" width="9.42578125" style="223"/>
    <col min="7946" max="7946" width="22.85546875" style="223" customWidth="1"/>
    <col min="7947" max="7948" width="10.5703125" style="223" bestFit="1" customWidth="1"/>
    <col min="7949" max="8191" width="9.42578125" style="223"/>
    <col min="8192" max="8192" width="7.7109375" style="223" customWidth="1"/>
    <col min="8193" max="8193" width="49.5703125" style="223" bestFit="1" customWidth="1"/>
    <col min="8194" max="8194" width="9.42578125" style="223"/>
    <col min="8195" max="8195" width="22.85546875" style="223" customWidth="1"/>
    <col min="8196" max="8196" width="19.28515625" style="223" customWidth="1"/>
    <col min="8197" max="8197" width="18.28515625" style="223" customWidth="1"/>
    <col min="8198" max="8198" width="19.28515625" style="223" customWidth="1"/>
    <col min="8199" max="8199" width="22" style="223" customWidth="1"/>
    <col min="8200" max="8200" width="28" style="223" customWidth="1"/>
    <col min="8201" max="8201" width="9.42578125" style="223"/>
    <col min="8202" max="8202" width="22.85546875" style="223" customWidth="1"/>
    <col min="8203" max="8204" width="10.5703125" style="223" bestFit="1" customWidth="1"/>
    <col min="8205" max="8447" width="9.42578125" style="223"/>
    <col min="8448" max="8448" width="7.7109375" style="223" customWidth="1"/>
    <col min="8449" max="8449" width="49.5703125" style="223" bestFit="1" customWidth="1"/>
    <col min="8450" max="8450" width="9.42578125" style="223"/>
    <col min="8451" max="8451" width="22.85546875" style="223" customWidth="1"/>
    <col min="8452" max="8452" width="19.28515625" style="223" customWidth="1"/>
    <col min="8453" max="8453" width="18.28515625" style="223" customWidth="1"/>
    <col min="8454" max="8454" width="19.28515625" style="223" customWidth="1"/>
    <col min="8455" max="8455" width="22" style="223" customWidth="1"/>
    <col min="8456" max="8456" width="28" style="223" customWidth="1"/>
    <col min="8457" max="8457" width="9.42578125" style="223"/>
    <col min="8458" max="8458" width="22.85546875" style="223" customWidth="1"/>
    <col min="8459" max="8460" width="10.5703125" style="223" bestFit="1" customWidth="1"/>
    <col min="8461" max="8703" width="9.42578125" style="223"/>
    <col min="8704" max="8704" width="7.7109375" style="223" customWidth="1"/>
    <col min="8705" max="8705" width="49.5703125" style="223" bestFit="1" customWidth="1"/>
    <col min="8706" max="8706" width="9.42578125" style="223"/>
    <col min="8707" max="8707" width="22.85546875" style="223" customWidth="1"/>
    <col min="8708" max="8708" width="19.28515625" style="223" customWidth="1"/>
    <col min="8709" max="8709" width="18.28515625" style="223" customWidth="1"/>
    <col min="8710" max="8710" width="19.28515625" style="223" customWidth="1"/>
    <col min="8711" max="8711" width="22" style="223" customWidth="1"/>
    <col min="8712" max="8712" width="28" style="223" customWidth="1"/>
    <col min="8713" max="8713" width="9.42578125" style="223"/>
    <col min="8714" max="8714" width="22.85546875" style="223" customWidth="1"/>
    <col min="8715" max="8716" width="10.5703125" style="223" bestFit="1" customWidth="1"/>
    <col min="8717" max="8959" width="9.42578125" style="223"/>
    <col min="8960" max="8960" width="7.7109375" style="223" customWidth="1"/>
    <col min="8961" max="8961" width="49.5703125" style="223" bestFit="1" customWidth="1"/>
    <col min="8962" max="8962" width="9.42578125" style="223"/>
    <col min="8963" max="8963" width="22.85546875" style="223" customWidth="1"/>
    <col min="8964" max="8964" width="19.28515625" style="223" customWidth="1"/>
    <col min="8965" max="8965" width="18.28515625" style="223" customWidth="1"/>
    <col min="8966" max="8966" width="19.28515625" style="223" customWidth="1"/>
    <col min="8967" max="8967" width="22" style="223" customWidth="1"/>
    <col min="8968" max="8968" width="28" style="223" customWidth="1"/>
    <col min="8969" max="8969" width="9.42578125" style="223"/>
    <col min="8970" max="8970" width="22.85546875" style="223" customWidth="1"/>
    <col min="8971" max="8972" width="10.5703125" style="223" bestFit="1" customWidth="1"/>
    <col min="8973" max="9215" width="9.42578125" style="223"/>
    <col min="9216" max="9216" width="7.7109375" style="223" customWidth="1"/>
    <col min="9217" max="9217" width="49.5703125" style="223" bestFit="1" customWidth="1"/>
    <col min="9218" max="9218" width="9.42578125" style="223"/>
    <col min="9219" max="9219" width="22.85546875" style="223" customWidth="1"/>
    <col min="9220" max="9220" width="19.28515625" style="223" customWidth="1"/>
    <col min="9221" max="9221" width="18.28515625" style="223" customWidth="1"/>
    <col min="9222" max="9222" width="19.28515625" style="223" customWidth="1"/>
    <col min="9223" max="9223" width="22" style="223" customWidth="1"/>
    <col min="9224" max="9224" width="28" style="223" customWidth="1"/>
    <col min="9225" max="9225" width="9.42578125" style="223"/>
    <col min="9226" max="9226" width="22.85546875" style="223" customWidth="1"/>
    <col min="9227" max="9228" width="10.5703125" style="223" bestFit="1" customWidth="1"/>
    <col min="9229" max="9471" width="9.42578125" style="223"/>
    <col min="9472" max="9472" width="7.7109375" style="223" customWidth="1"/>
    <col min="9473" max="9473" width="49.5703125" style="223" bestFit="1" customWidth="1"/>
    <col min="9474" max="9474" width="9.42578125" style="223"/>
    <col min="9475" max="9475" width="22.85546875" style="223" customWidth="1"/>
    <col min="9476" max="9476" width="19.28515625" style="223" customWidth="1"/>
    <col min="9477" max="9477" width="18.28515625" style="223" customWidth="1"/>
    <col min="9478" max="9478" width="19.28515625" style="223" customWidth="1"/>
    <col min="9479" max="9479" width="22" style="223" customWidth="1"/>
    <col min="9480" max="9480" width="28" style="223" customWidth="1"/>
    <col min="9481" max="9481" width="9.42578125" style="223"/>
    <col min="9482" max="9482" width="22.85546875" style="223" customWidth="1"/>
    <col min="9483" max="9484" width="10.5703125" style="223" bestFit="1" customWidth="1"/>
    <col min="9485" max="9727" width="9.42578125" style="223"/>
    <col min="9728" max="9728" width="7.7109375" style="223" customWidth="1"/>
    <col min="9729" max="9729" width="49.5703125" style="223" bestFit="1" customWidth="1"/>
    <col min="9730" max="9730" width="9.42578125" style="223"/>
    <col min="9731" max="9731" width="22.85546875" style="223" customWidth="1"/>
    <col min="9732" max="9732" width="19.28515625" style="223" customWidth="1"/>
    <col min="9733" max="9733" width="18.28515625" style="223" customWidth="1"/>
    <col min="9734" max="9734" width="19.28515625" style="223" customWidth="1"/>
    <col min="9735" max="9735" width="22" style="223" customWidth="1"/>
    <col min="9736" max="9736" width="28" style="223" customWidth="1"/>
    <col min="9737" max="9737" width="9.42578125" style="223"/>
    <col min="9738" max="9738" width="22.85546875" style="223" customWidth="1"/>
    <col min="9739" max="9740" width="10.5703125" style="223" bestFit="1" customWidth="1"/>
    <col min="9741" max="9983" width="9.42578125" style="223"/>
    <col min="9984" max="9984" width="7.7109375" style="223" customWidth="1"/>
    <col min="9985" max="9985" width="49.5703125" style="223" bestFit="1" customWidth="1"/>
    <col min="9986" max="9986" width="9.42578125" style="223"/>
    <col min="9987" max="9987" width="22.85546875" style="223" customWidth="1"/>
    <col min="9988" max="9988" width="19.28515625" style="223" customWidth="1"/>
    <col min="9989" max="9989" width="18.28515625" style="223" customWidth="1"/>
    <col min="9990" max="9990" width="19.28515625" style="223" customWidth="1"/>
    <col min="9991" max="9991" width="22" style="223" customWidth="1"/>
    <col min="9992" max="9992" width="28" style="223" customWidth="1"/>
    <col min="9993" max="9993" width="9.42578125" style="223"/>
    <col min="9994" max="9994" width="22.85546875" style="223" customWidth="1"/>
    <col min="9995" max="9996" width="10.5703125" style="223" bestFit="1" customWidth="1"/>
    <col min="9997" max="10239" width="9.42578125" style="223"/>
    <col min="10240" max="10240" width="7.7109375" style="223" customWidth="1"/>
    <col min="10241" max="10241" width="49.5703125" style="223" bestFit="1" customWidth="1"/>
    <col min="10242" max="10242" width="9.42578125" style="223"/>
    <col min="10243" max="10243" width="22.85546875" style="223" customWidth="1"/>
    <col min="10244" max="10244" width="19.28515625" style="223" customWidth="1"/>
    <col min="10245" max="10245" width="18.28515625" style="223" customWidth="1"/>
    <col min="10246" max="10246" width="19.28515625" style="223" customWidth="1"/>
    <col min="10247" max="10247" width="22" style="223" customWidth="1"/>
    <col min="10248" max="10248" width="28" style="223" customWidth="1"/>
    <col min="10249" max="10249" width="9.42578125" style="223"/>
    <col min="10250" max="10250" width="22.85546875" style="223" customWidth="1"/>
    <col min="10251" max="10252" width="10.5703125" style="223" bestFit="1" customWidth="1"/>
    <col min="10253" max="10495" width="9.42578125" style="223"/>
    <col min="10496" max="10496" width="7.7109375" style="223" customWidth="1"/>
    <col min="10497" max="10497" width="49.5703125" style="223" bestFit="1" customWidth="1"/>
    <col min="10498" max="10498" width="9.42578125" style="223"/>
    <col min="10499" max="10499" width="22.85546875" style="223" customWidth="1"/>
    <col min="10500" max="10500" width="19.28515625" style="223" customWidth="1"/>
    <col min="10501" max="10501" width="18.28515625" style="223" customWidth="1"/>
    <col min="10502" max="10502" width="19.28515625" style="223" customWidth="1"/>
    <col min="10503" max="10503" width="22" style="223" customWidth="1"/>
    <col min="10504" max="10504" width="28" style="223" customWidth="1"/>
    <col min="10505" max="10505" width="9.42578125" style="223"/>
    <col min="10506" max="10506" width="22.85546875" style="223" customWidth="1"/>
    <col min="10507" max="10508" width="10.5703125" style="223" bestFit="1" customWidth="1"/>
    <col min="10509" max="10751" width="9.42578125" style="223"/>
    <col min="10752" max="10752" width="7.7109375" style="223" customWidth="1"/>
    <col min="10753" max="10753" width="49.5703125" style="223" bestFit="1" customWidth="1"/>
    <col min="10754" max="10754" width="9.42578125" style="223"/>
    <col min="10755" max="10755" width="22.85546875" style="223" customWidth="1"/>
    <col min="10756" max="10756" width="19.28515625" style="223" customWidth="1"/>
    <col min="10757" max="10757" width="18.28515625" style="223" customWidth="1"/>
    <col min="10758" max="10758" width="19.28515625" style="223" customWidth="1"/>
    <col min="10759" max="10759" width="22" style="223" customWidth="1"/>
    <col min="10760" max="10760" width="28" style="223" customWidth="1"/>
    <col min="10761" max="10761" width="9.42578125" style="223"/>
    <col min="10762" max="10762" width="22.85546875" style="223" customWidth="1"/>
    <col min="10763" max="10764" width="10.5703125" style="223" bestFit="1" customWidth="1"/>
    <col min="10765" max="11007" width="9.42578125" style="223"/>
    <col min="11008" max="11008" width="7.7109375" style="223" customWidth="1"/>
    <col min="11009" max="11009" width="49.5703125" style="223" bestFit="1" customWidth="1"/>
    <col min="11010" max="11010" width="9.42578125" style="223"/>
    <col min="11011" max="11011" width="22.85546875" style="223" customWidth="1"/>
    <col min="11012" max="11012" width="19.28515625" style="223" customWidth="1"/>
    <col min="11013" max="11013" width="18.28515625" style="223" customWidth="1"/>
    <col min="11014" max="11014" width="19.28515625" style="223" customWidth="1"/>
    <col min="11015" max="11015" width="22" style="223" customWidth="1"/>
    <col min="11016" max="11016" width="28" style="223" customWidth="1"/>
    <col min="11017" max="11017" width="9.42578125" style="223"/>
    <col min="11018" max="11018" width="22.85546875" style="223" customWidth="1"/>
    <col min="11019" max="11020" width="10.5703125" style="223" bestFit="1" customWidth="1"/>
    <col min="11021" max="11263" width="9.42578125" style="223"/>
    <col min="11264" max="11264" width="7.7109375" style="223" customWidth="1"/>
    <col min="11265" max="11265" width="49.5703125" style="223" bestFit="1" customWidth="1"/>
    <col min="11266" max="11266" width="9.42578125" style="223"/>
    <col min="11267" max="11267" width="22.85546875" style="223" customWidth="1"/>
    <col min="11268" max="11268" width="19.28515625" style="223" customWidth="1"/>
    <col min="11269" max="11269" width="18.28515625" style="223" customWidth="1"/>
    <col min="11270" max="11270" width="19.28515625" style="223" customWidth="1"/>
    <col min="11271" max="11271" width="22" style="223" customWidth="1"/>
    <col min="11272" max="11272" width="28" style="223" customWidth="1"/>
    <col min="11273" max="11273" width="9.42578125" style="223"/>
    <col min="11274" max="11274" width="22.85546875" style="223" customWidth="1"/>
    <col min="11275" max="11276" width="10.5703125" style="223" bestFit="1" customWidth="1"/>
    <col min="11277" max="11519" width="9.42578125" style="223"/>
    <col min="11520" max="11520" width="7.7109375" style="223" customWidth="1"/>
    <col min="11521" max="11521" width="49.5703125" style="223" bestFit="1" customWidth="1"/>
    <col min="11522" max="11522" width="9.42578125" style="223"/>
    <col min="11523" max="11523" width="22.85546875" style="223" customWidth="1"/>
    <col min="11524" max="11524" width="19.28515625" style="223" customWidth="1"/>
    <col min="11525" max="11525" width="18.28515625" style="223" customWidth="1"/>
    <col min="11526" max="11526" width="19.28515625" style="223" customWidth="1"/>
    <col min="11527" max="11527" width="22" style="223" customWidth="1"/>
    <col min="11528" max="11528" width="28" style="223" customWidth="1"/>
    <col min="11529" max="11529" width="9.42578125" style="223"/>
    <col min="11530" max="11530" width="22.85546875" style="223" customWidth="1"/>
    <col min="11531" max="11532" width="10.5703125" style="223" bestFit="1" customWidth="1"/>
    <col min="11533" max="11775" width="9.42578125" style="223"/>
    <col min="11776" max="11776" width="7.7109375" style="223" customWidth="1"/>
    <col min="11777" max="11777" width="49.5703125" style="223" bestFit="1" customWidth="1"/>
    <col min="11778" max="11778" width="9.42578125" style="223"/>
    <col min="11779" max="11779" width="22.85546875" style="223" customWidth="1"/>
    <col min="11780" max="11780" width="19.28515625" style="223" customWidth="1"/>
    <col min="11781" max="11781" width="18.28515625" style="223" customWidth="1"/>
    <col min="11782" max="11782" width="19.28515625" style="223" customWidth="1"/>
    <col min="11783" max="11783" width="22" style="223" customWidth="1"/>
    <col min="11784" max="11784" width="28" style="223" customWidth="1"/>
    <col min="11785" max="11785" width="9.42578125" style="223"/>
    <col min="11786" max="11786" width="22.85546875" style="223" customWidth="1"/>
    <col min="11787" max="11788" width="10.5703125" style="223" bestFit="1" customWidth="1"/>
    <col min="11789" max="12031" width="9.42578125" style="223"/>
    <col min="12032" max="12032" width="7.7109375" style="223" customWidth="1"/>
    <col min="12033" max="12033" width="49.5703125" style="223" bestFit="1" customWidth="1"/>
    <col min="12034" max="12034" width="9.42578125" style="223"/>
    <col min="12035" max="12035" width="22.85546875" style="223" customWidth="1"/>
    <col min="12036" max="12036" width="19.28515625" style="223" customWidth="1"/>
    <col min="12037" max="12037" width="18.28515625" style="223" customWidth="1"/>
    <col min="12038" max="12038" width="19.28515625" style="223" customWidth="1"/>
    <col min="12039" max="12039" width="22" style="223" customWidth="1"/>
    <col min="12040" max="12040" width="28" style="223" customWidth="1"/>
    <col min="12041" max="12041" width="9.42578125" style="223"/>
    <col min="12042" max="12042" width="22.85546875" style="223" customWidth="1"/>
    <col min="12043" max="12044" width="10.5703125" style="223" bestFit="1" customWidth="1"/>
    <col min="12045" max="12287" width="9.42578125" style="223"/>
    <col min="12288" max="12288" width="7.7109375" style="223" customWidth="1"/>
    <col min="12289" max="12289" width="49.5703125" style="223" bestFit="1" customWidth="1"/>
    <col min="12290" max="12290" width="9.42578125" style="223"/>
    <col min="12291" max="12291" width="22.85546875" style="223" customWidth="1"/>
    <col min="12292" max="12292" width="19.28515625" style="223" customWidth="1"/>
    <col min="12293" max="12293" width="18.28515625" style="223" customWidth="1"/>
    <col min="12294" max="12294" width="19.28515625" style="223" customWidth="1"/>
    <col min="12295" max="12295" width="22" style="223" customWidth="1"/>
    <col min="12296" max="12296" width="28" style="223" customWidth="1"/>
    <col min="12297" max="12297" width="9.42578125" style="223"/>
    <col min="12298" max="12298" width="22.85546875" style="223" customWidth="1"/>
    <col min="12299" max="12300" width="10.5703125" style="223" bestFit="1" customWidth="1"/>
    <col min="12301" max="12543" width="9.42578125" style="223"/>
    <col min="12544" max="12544" width="7.7109375" style="223" customWidth="1"/>
    <col min="12545" max="12545" width="49.5703125" style="223" bestFit="1" customWidth="1"/>
    <col min="12546" max="12546" width="9.42578125" style="223"/>
    <col min="12547" max="12547" width="22.85546875" style="223" customWidth="1"/>
    <col min="12548" max="12548" width="19.28515625" style="223" customWidth="1"/>
    <col min="12549" max="12549" width="18.28515625" style="223" customWidth="1"/>
    <col min="12550" max="12550" width="19.28515625" style="223" customWidth="1"/>
    <col min="12551" max="12551" width="22" style="223" customWidth="1"/>
    <col min="12552" max="12552" width="28" style="223" customWidth="1"/>
    <col min="12553" max="12553" width="9.42578125" style="223"/>
    <col min="12554" max="12554" width="22.85546875" style="223" customWidth="1"/>
    <col min="12555" max="12556" width="10.5703125" style="223" bestFit="1" customWidth="1"/>
    <col min="12557" max="12799" width="9.42578125" style="223"/>
    <col min="12800" max="12800" width="7.7109375" style="223" customWidth="1"/>
    <col min="12801" max="12801" width="49.5703125" style="223" bestFit="1" customWidth="1"/>
    <col min="12802" max="12802" width="9.42578125" style="223"/>
    <col min="12803" max="12803" width="22.85546875" style="223" customWidth="1"/>
    <col min="12804" max="12804" width="19.28515625" style="223" customWidth="1"/>
    <col min="12805" max="12805" width="18.28515625" style="223" customWidth="1"/>
    <col min="12806" max="12806" width="19.28515625" style="223" customWidth="1"/>
    <col min="12807" max="12807" width="22" style="223" customWidth="1"/>
    <col min="12808" max="12808" width="28" style="223" customWidth="1"/>
    <col min="12809" max="12809" width="9.42578125" style="223"/>
    <col min="12810" max="12810" width="22.85546875" style="223" customWidth="1"/>
    <col min="12811" max="12812" width="10.5703125" style="223" bestFit="1" customWidth="1"/>
    <col min="12813" max="13055" width="9.42578125" style="223"/>
    <col min="13056" max="13056" width="7.7109375" style="223" customWidth="1"/>
    <col min="13057" max="13057" width="49.5703125" style="223" bestFit="1" customWidth="1"/>
    <col min="13058" max="13058" width="9.42578125" style="223"/>
    <col min="13059" max="13059" width="22.85546875" style="223" customWidth="1"/>
    <col min="13060" max="13060" width="19.28515625" style="223" customWidth="1"/>
    <col min="13061" max="13061" width="18.28515625" style="223" customWidth="1"/>
    <col min="13062" max="13062" width="19.28515625" style="223" customWidth="1"/>
    <col min="13063" max="13063" width="22" style="223" customWidth="1"/>
    <col min="13064" max="13064" width="28" style="223" customWidth="1"/>
    <col min="13065" max="13065" width="9.42578125" style="223"/>
    <col min="13066" max="13066" width="22.85546875" style="223" customWidth="1"/>
    <col min="13067" max="13068" width="10.5703125" style="223" bestFit="1" customWidth="1"/>
    <col min="13069" max="13311" width="9.42578125" style="223"/>
    <col min="13312" max="13312" width="7.7109375" style="223" customWidth="1"/>
    <col min="13313" max="13313" width="49.5703125" style="223" bestFit="1" customWidth="1"/>
    <col min="13314" max="13314" width="9.42578125" style="223"/>
    <col min="13315" max="13315" width="22.85546875" style="223" customWidth="1"/>
    <col min="13316" max="13316" width="19.28515625" style="223" customWidth="1"/>
    <col min="13317" max="13317" width="18.28515625" style="223" customWidth="1"/>
    <col min="13318" max="13318" width="19.28515625" style="223" customWidth="1"/>
    <col min="13319" max="13319" width="22" style="223" customWidth="1"/>
    <col min="13320" max="13320" width="28" style="223" customWidth="1"/>
    <col min="13321" max="13321" width="9.42578125" style="223"/>
    <col min="13322" max="13322" width="22.85546875" style="223" customWidth="1"/>
    <col min="13323" max="13324" width="10.5703125" style="223" bestFit="1" customWidth="1"/>
    <col min="13325" max="13567" width="9.42578125" style="223"/>
    <col min="13568" max="13568" width="7.7109375" style="223" customWidth="1"/>
    <col min="13569" max="13569" width="49.5703125" style="223" bestFit="1" customWidth="1"/>
    <col min="13570" max="13570" width="9.42578125" style="223"/>
    <col min="13571" max="13571" width="22.85546875" style="223" customWidth="1"/>
    <col min="13572" max="13572" width="19.28515625" style="223" customWidth="1"/>
    <col min="13573" max="13573" width="18.28515625" style="223" customWidth="1"/>
    <col min="13574" max="13574" width="19.28515625" style="223" customWidth="1"/>
    <col min="13575" max="13575" width="22" style="223" customWidth="1"/>
    <col min="13576" max="13576" width="28" style="223" customWidth="1"/>
    <col min="13577" max="13577" width="9.42578125" style="223"/>
    <col min="13578" max="13578" width="22.85546875" style="223" customWidth="1"/>
    <col min="13579" max="13580" width="10.5703125" style="223" bestFit="1" customWidth="1"/>
    <col min="13581" max="13823" width="9.42578125" style="223"/>
    <col min="13824" max="13824" width="7.7109375" style="223" customWidth="1"/>
    <col min="13825" max="13825" width="49.5703125" style="223" bestFit="1" customWidth="1"/>
    <col min="13826" max="13826" width="9.42578125" style="223"/>
    <col min="13827" max="13827" width="22.85546875" style="223" customWidth="1"/>
    <col min="13828" max="13828" width="19.28515625" style="223" customWidth="1"/>
    <col min="13829" max="13829" width="18.28515625" style="223" customWidth="1"/>
    <col min="13830" max="13830" width="19.28515625" style="223" customWidth="1"/>
    <col min="13831" max="13831" width="22" style="223" customWidth="1"/>
    <col min="13832" max="13832" width="28" style="223" customWidth="1"/>
    <col min="13833" max="13833" width="9.42578125" style="223"/>
    <col min="13834" max="13834" width="22.85546875" style="223" customWidth="1"/>
    <col min="13835" max="13836" width="10.5703125" style="223" bestFit="1" customWidth="1"/>
    <col min="13837" max="14079" width="9.42578125" style="223"/>
    <col min="14080" max="14080" width="7.7109375" style="223" customWidth="1"/>
    <col min="14081" max="14081" width="49.5703125" style="223" bestFit="1" customWidth="1"/>
    <col min="14082" max="14082" width="9.42578125" style="223"/>
    <col min="14083" max="14083" width="22.85546875" style="223" customWidth="1"/>
    <col min="14084" max="14084" width="19.28515625" style="223" customWidth="1"/>
    <col min="14085" max="14085" width="18.28515625" style="223" customWidth="1"/>
    <col min="14086" max="14086" width="19.28515625" style="223" customWidth="1"/>
    <col min="14087" max="14087" width="22" style="223" customWidth="1"/>
    <col min="14088" max="14088" width="28" style="223" customWidth="1"/>
    <col min="14089" max="14089" width="9.42578125" style="223"/>
    <col min="14090" max="14090" width="22.85546875" style="223" customWidth="1"/>
    <col min="14091" max="14092" width="10.5703125" style="223" bestFit="1" customWidth="1"/>
    <col min="14093" max="14335" width="9.42578125" style="223"/>
    <col min="14336" max="14336" width="7.7109375" style="223" customWidth="1"/>
    <col min="14337" max="14337" width="49.5703125" style="223" bestFit="1" customWidth="1"/>
    <col min="14338" max="14338" width="9.42578125" style="223"/>
    <col min="14339" max="14339" width="22.85546875" style="223" customWidth="1"/>
    <col min="14340" max="14340" width="19.28515625" style="223" customWidth="1"/>
    <col min="14341" max="14341" width="18.28515625" style="223" customWidth="1"/>
    <col min="14342" max="14342" width="19.28515625" style="223" customWidth="1"/>
    <col min="14343" max="14343" width="22" style="223" customWidth="1"/>
    <col min="14344" max="14344" width="28" style="223" customWidth="1"/>
    <col min="14345" max="14345" width="9.42578125" style="223"/>
    <col min="14346" max="14346" width="22.85546875" style="223" customWidth="1"/>
    <col min="14347" max="14348" width="10.5703125" style="223" bestFit="1" customWidth="1"/>
    <col min="14349" max="14591" width="9.42578125" style="223"/>
    <col min="14592" max="14592" width="7.7109375" style="223" customWidth="1"/>
    <col min="14593" max="14593" width="49.5703125" style="223" bestFit="1" customWidth="1"/>
    <col min="14594" max="14594" width="9.42578125" style="223"/>
    <col min="14595" max="14595" width="22.85546875" style="223" customWidth="1"/>
    <col min="14596" max="14596" width="19.28515625" style="223" customWidth="1"/>
    <col min="14597" max="14597" width="18.28515625" style="223" customWidth="1"/>
    <col min="14598" max="14598" width="19.28515625" style="223" customWidth="1"/>
    <col min="14599" max="14599" width="22" style="223" customWidth="1"/>
    <col min="14600" max="14600" width="28" style="223" customWidth="1"/>
    <col min="14601" max="14601" width="9.42578125" style="223"/>
    <col min="14602" max="14602" width="22.85546875" style="223" customWidth="1"/>
    <col min="14603" max="14604" width="10.5703125" style="223" bestFit="1" customWidth="1"/>
    <col min="14605" max="14847" width="9.42578125" style="223"/>
    <col min="14848" max="14848" width="7.7109375" style="223" customWidth="1"/>
    <col min="14849" max="14849" width="49.5703125" style="223" bestFit="1" customWidth="1"/>
    <col min="14850" max="14850" width="9.42578125" style="223"/>
    <col min="14851" max="14851" width="22.85546875" style="223" customWidth="1"/>
    <col min="14852" max="14852" width="19.28515625" style="223" customWidth="1"/>
    <col min="14853" max="14853" width="18.28515625" style="223" customWidth="1"/>
    <col min="14854" max="14854" width="19.28515625" style="223" customWidth="1"/>
    <col min="14855" max="14855" width="22" style="223" customWidth="1"/>
    <col min="14856" max="14856" width="28" style="223" customWidth="1"/>
    <col min="14857" max="14857" width="9.42578125" style="223"/>
    <col min="14858" max="14858" width="22.85546875" style="223" customWidth="1"/>
    <col min="14859" max="14860" width="10.5703125" style="223" bestFit="1" customWidth="1"/>
    <col min="14861" max="15103" width="9.42578125" style="223"/>
    <col min="15104" max="15104" width="7.7109375" style="223" customWidth="1"/>
    <col min="15105" max="15105" width="49.5703125" style="223" bestFit="1" customWidth="1"/>
    <col min="15106" max="15106" width="9.42578125" style="223"/>
    <col min="15107" max="15107" width="22.85546875" style="223" customWidth="1"/>
    <col min="15108" max="15108" width="19.28515625" style="223" customWidth="1"/>
    <col min="15109" max="15109" width="18.28515625" style="223" customWidth="1"/>
    <col min="15110" max="15110" width="19.28515625" style="223" customWidth="1"/>
    <col min="15111" max="15111" width="22" style="223" customWidth="1"/>
    <col min="15112" max="15112" width="28" style="223" customWidth="1"/>
    <col min="15113" max="15113" width="9.42578125" style="223"/>
    <col min="15114" max="15114" width="22.85546875" style="223" customWidth="1"/>
    <col min="15115" max="15116" width="10.5703125" style="223" bestFit="1" customWidth="1"/>
    <col min="15117" max="15359" width="9.42578125" style="223"/>
    <col min="15360" max="15360" width="7.7109375" style="223" customWidth="1"/>
    <col min="15361" max="15361" width="49.5703125" style="223" bestFit="1" customWidth="1"/>
    <col min="15362" max="15362" width="9.42578125" style="223"/>
    <col min="15363" max="15363" width="22.85546875" style="223" customWidth="1"/>
    <col min="15364" max="15364" width="19.28515625" style="223" customWidth="1"/>
    <col min="15365" max="15365" width="18.28515625" style="223" customWidth="1"/>
    <col min="15366" max="15366" width="19.28515625" style="223" customWidth="1"/>
    <col min="15367" max="15367" width="22" style="223" customWidth="1"/>
    <col min="15368" max="15368" width="28" style="223" customWidth="1"/>
    <col min="15369" max="15369" width="9.42578125" style="223"/>
    <col min="15370" max="15370" width="22.85546875" style="223" customWidth="1"/>
    <col min="15371" max="15372" width="10.5703125" style="223" bestFit="1" customWidth="1"/>
    <col min="15373" max="15615" width="9.42578125" style="223"/>
    <col min="15616" max="15616" width="7.7109375" style="223" customWidth="1"/>
    <col min="15617" max="15617" width="49.5703125" style="223" bestFit="1" customWidth="1"/>
    <col min="15618" max="15618" width="9.42578125" style="223"/>
    <col min="15619" max="15619" width="22.85546875" style="223" customWidth="1"/>
    <col min="15620" max="15620" width="19.28515625" style="223" customWidth="1"/>
    <col min="15621" max="15621" width="18.28515625" style="223" customWidth="1"/>
    <col min="15622" max="15622" width="19.28515625" style="223" customWidth="1"/>
    <col min="15623" max="15623" width="22" style="223" customWidth="1"/>
    <col min="15624" max="15624" width="28" style="223" customWidth="1"/>
    <col min="15625" max="15625" width="9.42578125" style="223"/>
    <col min="15626" max="15626" width="22.85546875" style="223" customWidth="1"/>
    <col min="15627" max="15628" width="10.5703125" style="223" bestFit="1" customWidth="1"/>
    <col min="15629" max="15871" width="9.42578125" style="223"/>
    <col min="15872" max="15872" width="7.7109375" style="223" customWidth="1"/>
    <col min="15873" max="15873" width="49.5703125" style="223" bestFit="1" customWidth="1"/>
    <col min="15874" max="15874" width="9.42578125" style="223"/>
    <col min="15875" max="15875" width="22.85546875" style="223" customWidth="1"/>
    <col min="15876" max="15876" width="19.28515625" style="223" customWidth="1"/>
    <col min="15877" max="15877" width="18.28515625" style="223" customWidth="1"/>
    <col min="15878" max="15878" width="19.28515625" style="223" customWidth="1"/>
    <col min="15879" max="15879" width="22" style="223" customWidth="1"/>
    <col min="15880" max="15880" width="28" style="223" customWidth="1"/>
    <col min="15881" max="15881" width="9.42578125" style="223"/>
    <col min="15882" max="15882" width="22.85546875" style="223" customWidth="1"/>
    <col min="15883" max="15884" width="10.5703125" style="223" bestFit="1" customWidth="1"/>
    <col min="15885" max="16127" width="9.42578125" style="223"/>
    <col min="16128" max="16128" width="7.7109375" style="223" customWidth="1"/>
    <col min="16129" max="16129" width="49.5703125" style="223" bestFit="1" customWidth="1"/>
    <col min="16130" max="16130" width="9.42578125" style="223"/>
    <col min="16131" max="16131" width="22.85546875" style="223" customWidth="1"/>
    <col min="16132" max="16132" width="19.28515625" style="223" customWidth="1"/>
    <col min="16133" max="16133" width="18.28515625" style="223" customWidth="1"/>
    <col min="16134" max="16134" width="19.28515625" style="223" customWidth="1"/>
    <col min="16135" max="16135" width="22" style="223" customWidth="1"/>
    <col min="16136" max="16136" width="28" style="223" customWidth="1"/>
    <col min="16137" max="16137" width="9.42578125" style="223"/>
    <col min="16138" max="16138" width="22.85546875" style="223" customWidth="1"/>
    <col min="16139" max="16140" width="10.5703125" style="223" bestFit="1" customWidth="1"/>
    <col min="16141" max="16384" width="9.42578125" style="223"/>
  </cols>
  <sheetData>
    <row r="2" spans="1:10" x14ac:dyDescent="0.25">
      <c r="A2" s="269" t="s">
        <v>334</v>
      </c>
      <c r="B2" s="269"/>
      <c r="C2" s="269"/>
      <c r="D2" s="269"/>
      <c r="E2" s="269"/>
      <c r="F2" s="269"/>
      <c r="G2" s="269"/>
      <c r="H2" s="269"/>
    </row>
    <row r="3" spans="1:10" x14ac:dyDescent="0.25">
      <c r="A3" s="269" t="str">
        <f>'3.Tổng hợp chi phí phần mềm'!A6:F6</f>
        <v>Phần mềm Hệ thống thông tin báo cáo - Sở Du lịch KHA</v>
      </c>
      <c r="B3" s="269"/>
      <c r="C3" s="269"/>
      <c r="D3" s="269"/>
      <c r="E3" s="269"/>
      <c r="F3" s="269"/>
      <c r="G3" s="269"/>
      <c r="H3" s="269"/>
    </row>
    <row r="4" spans="1:10" x14ac:dyDescent="0.25">
      <c r="A4" s="270" t="s">
        <v>335</v>
      </c>
      <c r="B4" s="270"/>
      <c r="C4" s="270"/>
      <c r="D4" s="270"/>
      <c r="E4" s="270"/>
      <c r="F4" s="270"/>
      <c r="G4" s="270"/>
      <c r="H4" s="270"/>
    </row>
    <row r="5" spans="1:10" ht="37.5" x14ac:dyDescent="0.25">
      <c r="A5" s="224" t="s">
        <v>16</v>
      </c>
      <c r="B5" s="225" t="s">
        <v>336</v>
      </c>
      <c r="C5" s="225" t="s">
        <v>4</v>
      </c>
      <c r="D5" s="224" t="s">
        <v>337</v>
      </c>
      <c r="E5" s="226" t="s">
        <v>338</v>
      </c>
      <c r="F5" s="224" t="s">
        <v>339</v>
      </c>
      <c r="G5" s="224" t="s">
        <v>340</v>
      </c>
      <c r="H5" s="227" t="s">
        <v>19</v>
      </c>
    </row>
    <row r="6" spans="1:10" x14ac:dyDescent="0.25">
      <c r="A6" s="228" t="s">
        <v>341</v>
      </c>
      <c r="B6" s="229" t="s">
        <v>342</v>
      </c>
      <c r="C6" s="230" t="s">
        <v>343</v>
      </c>
      <c r="D6" s="231"/>
      <c r="E6" s="232">
        <f>SUM(E7:E8)</f>
        <v>187729127.94181001</v>
      </c>
      <c r="F6" s="232">
        <v>0</v>
      </c>
      <c r="G6" s="232">
        <f>E6+F6</f>
        <v>187729127.94181001</v>
      </c>
      <c r="H6" s="233"/>
    </row>
    <row r="7" spans="1:10" x14ac:dyDescent="0.25">
      <c r="A7" s="234">
        <v>1</v>
      </c>
      <c r="B7" s="235" t="s">
        <v>344</v>
      </c>
      <c r="C7" s="236" t="s">
        <v>345</v>
      </c>
      <c r="D7" s="231"/>
      <c r="E7" s="237">
        <f>'3.Tổng hợp chi phí phần mềm'!E13</f>
        <v>187729127.94181001</v>
      </c>
      <c r="F7" s="237">
        <v>0</v>
      </c>
      <c r="G7" s="237">
        <f>E7+F7</f>
        <v>187729127.94181001</v>
      </c>
      <c r="H7" s="238" t="s">
        <v>346</v>
      </c>
    </row>
    <row r="8" spans="1:10" x14ac:dyDescent="0.25">
      <c r="A8" s="234">
        <v>2</v>
      </c>
      <c r="B8" s="239" t="s">
        <v>347</v>
      </c>
      <c r="C8" s="236" t="s">
        <v>348</v>
      </c>
      <c r="D8" s="231"/>
      <c r="E8" s="237">
        <v>0</v>
      </c>
      <c r="F8" s="237">
        <v>0</v>
      </c>
      <c r="G8" s="237">
        <v>0</v>
      </c>
      <c r="H8" s="238" t="s">
        <v>381</v>
      </c>
      <c r="J8" s="240"/>
    </row>
    <row r="9" spans="1:10" x14ac:dyDescent="0.25">
      <c r="A9" s="241" t="s">
        <v>82</v>
      </c>
      <c r="B9" s="242" t="s">
        <v>349</v>
      </c>
      <c r="C9" s="241" t="s">
        <v>350</v>
      </c>
      <c r="D9" s="243" t="s">
        <v>351</v>
      </c>
      <c r="E9" s="244">
        <f>0.02644*E6</f>
        <v>4963558.1427814569</v>
      </c>
      <c r="F9" s="245">
        <f>E9*0.1</f>
        <v>496355.81427814573</v>
      </c>
      <c r="G9" s="232">
        <f>E9+F9</f>
        <v>5459913.9570596023</v>
      </c>
      <c r="H9" s="246" t="s">
        <v>352</v>
      </c>
      <c r="J9" s="240"/>
    </row>
    <row r="10" spans="1:10" x14ac:dyDescent="0.25">
      <c r="A10" s="247" t="s">
        <v>24</v>
      </c>
      <c r="B10" s="248" t="s">
        <v>353</v>
      </c>
      <c r="C10" s="249" t="s">
        <v>354</v>
      </c>
      <c r="D10" s="243"/>
      <c r="E10" s="244">
        <f>SUM(E11:E12)</f>
        <v>2622575.9173470857</v>
      </c>
      <c r="F10" s="244">
        <f>SUM(F11:F12)</f>
        <v>262257.59173470864</v>
      </c>
      <c r="G10" s="244">
        <f>SUM(E10:F10)</f>
        <v>2884833.5090817944</v>
      </c>
      <c r="H10" s="246" t="s">
        <v>352</v>
      </c>
    </row>
    <row r="11" spans="1:10" x14ac:dyDescent="0.25">
      <c r="A11" s="250">
        <v>1</v>
      </c>
      <c r="B11" s="251" t="s">
        <v>384</v>
      </c>
      <c r="C11" s="252" t="s">
        <v>355</v>
      </c>
      <c r="D11" s="243" t="s">
        <v>356</v>
      </c>
      <c r="E11" s="253">
        <f>0.00992*E6</f>
        <v>1862272.9491827553</v>
      </c>
      <c r="F11" s="253">
        <f>E11*0.1</f>
        <v>186227.29491827555</v>
      </c>
      <c r="G11" s="237">
        <f>E11+F11</f>
        <v>2048500.2441010308</v>
      </c>
      <c r="H11" s="246" t="s">
        <v>352</v>
      </c>
      <c r="J11" s="240"/>
    </row>
    <row r="12" spans="1:10" ht="37.5" x14ac:dyDescent="0.25">
      <c r="A12" s="250">
        <v>2</v>
      </c>
      <c r="B12" s="254" t="s">
        <v>357</v>
      </c>
      <c r="C12" s="255" t="s">
        <v>358</v>
      </c>
      <c r="D12" s="243" t="s">
        <v>359</v>
      </c>
      <c r="E12" s="256">
        <f>0.00405*E6</f>
        <v>760302.96816433046</v>
      </c>
      <c r="F12" s="256">
        <f>E12*0.1</f>
        <v>76030.296816433052</v>
      </c>
      <c r="G12" s="237">
        <f>E12+F12</f>
        <v>836333.26498076355</v>
      </c>
      <c r="H12" s="246" t="s">
        <v>352</v>
      </c>
      <c r="J12" s="240"/>
    </row>
    <row r="13" spans="1:10" x14ac:dyDescent="0.25">
      <c r="A13" s="247" t="s">
        <v>360</v>
      </c>
      <c r="B13" s="248" t="s">
        <v>361</v>
      </c>
      <c r="C13" s="241" t="s">
        <v>362</v>
      </c>
      <c r="D13" s="243"/>
      <c r="E13" s="244">
        <f>SUM(E14:E17)</f>
        <v>537468.49329740205</v>
      </c>
      <c r="F13" s="244">
        <f>SUM(F14:F17)</f>
        <v>53746.849329740216</v>
      </c>
      <c r="G13" s="244">
        <f>SUM(E13:F13)</f>
        <v>591215.34262714232</v>
      </c>
      <c r="H13" s="241"/>
    </row>
    <row r="14" spans="1:10" x14ac:dyDescent="0.25">
      <c r="A14" s="257">
        <v>1</v>
      </c>
      <c r="B14" s="254" t="s">
        <v>363</v>
      </c>
      <c r="C14" s="246" t="s">
        <v>364</v>
      </c>
      <c r="D14" s="243" t="s">
        <v>365</v>
      </c>
      <c r="E14" s="256">
        <f>0.0005*E6</f>
        <v>93864.563970905001</v>
      </c>
      <c r="F14" s="253">
        <f>E14*10%</f>
        <v>9386.4563970905001</v>
      </c>
      <c r="G14" s="237">
        <f t="shared" ref="G14:G15" si="0">E14+F14</f>
        <v>103251.0203679955</v>
      </c>
      <c r="H14" s="246" t="s">
        <v>366</v>
      </c>
    </row>
    <row r="15" spans="1:10" ht="37.5" x14ac:dyDescent="0.25">
      <c r="A15" s="257">
        <v>2</v>
      </c>
      <c r="B15" s="258" t="s">
        <v>367</v>
      </c>
      <c r="C15" s="246" t="s">
        <v>368</v>
      </c>
      <c r="D15" s="243" t="s">
        <v>369</v>
      </c>
      <c r="E15" s="256">
        <f>0.0003*E6</f>
        <v>56318.738382543001</v>
      </c>
      <c r="F15" s="253">
        <f t="shared" ref="F15" si="1">E15*10%</f>
        <v>5631.8738382543006</v>
      </c>
      <c r="G15" s="237">
        <f t="shared" si="0"/>
        <v>61950.612220797302</v>
      </c>
      <c r="H15" s="246" t="s">
        <v>366</v>
      </c>
    </row>
    <row r="16" spans="1:10" ht="19.5" customHeight="1" x14ac:dyDescent="0.25">
      <c r="A16" s="257">
        <v>4</v>
      </c>
      <c r="B16" s="267" t="s">
        <v>370</v>
      </c>
      <c r="C16" s="246" t="s">
        <v>371</v>
      </c>
      <c r="D16" s="259" t="s">
        <v>372</v>
      </c>
      <c r="E16" s="253">
        <f>0.002063*E6</f>
        <v>387285.19094395411</v>
      </c>
      <c r="F16" s="253">
        <f>0.1*E16</f>
        <v>38728.519094395415</v>
      </c>
      <c r="G16" s="237">
        <f>SUM(E16:F16)</f>
        <v>426013.7100383495</v>
      </c>
      <c r="H16" s="246" t="s">
        <v>352</v>
      </c>
      <c r="J16" s="240"/>
    </row>
    <row r="17" spans="1:8" ht="37.5" x14ac:dyDescent="0.25">
      <c r="A17" s="257">
        <v>6</v>
      </c>
      <c r="B17" s="260" t="s">
        <v>373</v>
      </c>
      <c r="C17" s="246" t="s">
        <v>374</v>
      </c>
      <c r="D17" s="259"/>
      <c r="E17" s="253"/>
      <c r="F17" s="253"/>
      <c r="G17" s="237"/>
      <c r="H17" s="246" t="s">
        <v>375</v>
      </c>
    </row>
    <row r="18" spans="1:8" x14ac:dyDescent="0.25">
      <c r="A18" s="247" t="s">
        <v>64</v>
      </c>
      <c r="B18" s="248" t="s">
        <v>376</v>
      </c>
      <c r="C18" s="241" t="s">
        <v>377</v>
      </c>
      <c r="D18" s="227"/>
      <c r="E18" s="245">
        <v>0</v>
      </c>
      <c r="F18" s="245">
        <v>0</v>
      </c>
      <c r="G18" s="244">
        <f>SUM(E18:F18)</f>
        <v>0</v>
      </c>
      <c r="H18" s="261"/>
    </row>
    <row r="19" spans="1:8" x14ac:dyDescent="0.25">
      <c r="A19" s="271" t="s">
        <v>378</v>
      </c>
      <c r="B19" s="272"/>
      <c r="C19" s="272"/>
      <c r="D19" s="273"/>
      <c r="E19" s="262"/>
      <c r="F19" s="262">
        <f>F6+F9+F10+F13+F18</f>
        <v>812360.25534259458</v>
      </c>
      <c r="G19" s="262">
        <f>SUM(G6+G9+G10+G13+G18)</f>
        <v>196665090.75057852</v>
      </c>
      <c r="H19" s="263"/>
    </row>
    <row r="20" spans="1:8" x14ac:dyDescent="0.25">
      <c r="A20" s="274" t="s">
        <v>379</v>
      </c>
      <c r="B20" s="275"/>
      <c r="C20" s="275"/>
      <c r="D20" s="276"/>
      <c r="E20" s="264"/>
      <c r="F20" s="265"/>
      <c r="G20" s="262">
        <f>ROUND(G19,-3)</f>
        <v>196665000</v>
      </c>
      <c r="H20" s="263"/>
    </row>
    <row r="21" spans="1:8" ht="19.5" x14ac:dyDescent="0.25">
      <c r="A21" s="277" t="s">
        <v>380</v>
      </c>
      <c r="B21" s="278"/>
      <c r="C21" s="278"/>
      <c r="D21" s="278"/>
      <c r="E21" s="278"/>
      <c r="F21" s="278"/>
      <c r="G21" s="278"/>
      <c r="H21" s="279"/>
    </row>
    <row r="24" spans="1:8" x14ac:dyDescent="0.25">
      <c r="G24" s="268"/>
    </row>
  </sheetData>
  <mergeCells count="6">
    <mergeCell ref="A21:H21"/>
    <mergeCell ref="A2:H2"/>
    <mergeCell ref="A3:H3"/>
    <mergeCell ref="A4:H4"/>
    <mergeCell ref="A19:D19"/>
    <mergeCell ref="A20:D20"/>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99FF"/>
  </sheetPr>
  <dimension ref="A1:K100"/>
  <sheetViews>
    <sheetView workbookViewId="0">
      <selection activeCell="C26" sqref="C26"/>
    </sheetView>
  </sheetViews>
  <sheetFormatPr defaultColWidth="14.42578125" defaultRowHeight="15" customHeight="1" x14ac:dyDescent="0.25"/>
  <cols>
    <col min="1" max="1" width="5.7109375" customWidth="1"/>
    <col min="2" max="2" width="34.7109375" customWidth="1"/>
    <col min="3" max="3" width="8.42578125" customWidth="1"/>
    <col min="4" max="4" width="14.5703125" customWidth="1"/>
    <col min="5" max="5" width="15.42578125" customWidth="1"/>
    <col min="6" max="6" width="45.7109375" customWidth="1"/>
    <col min="7" max="7" width="9" customWidth="1"/>
    <col min="8" max="8" width="15.42578125" customWidth="1"/>
    <col min="9" max="11" width="8" customWidth="1"/>
  </cols>
  <sheetData>
    <row r="1" spans="1:11" ht="15.75" customHeight="1" x14ac:dyDescent="0.25">
      <c r="A1" s="1" t="s">
        <v>12</v>
      </c>
      <c r="B1" s="4"/>
      <c r="C1" s="4"/>
      <c r="D1" s="4"/>
      <c r="E1" s="4"/>
      <c r="F1" s="4"/>
      <c r="G1" s="5"/>
      <c r="H1" s="5"/>
      <c r="I1" s="5"/>
      <c r="J1" s="5"/>
      <c r="K1" s="5"/>
    </row>
    <row r="2" spans="1:11" ht="15.75" customHeight="1" x14ac:dyDescent="0.25">
      <c r="A2" s="1" t="s">
        <v>13</v>
      </c>
      <c r="B2" s="4"/>
      <c r="C2" s="4"/>
      <c r="D2" s="4"/>
      <c r="E2" s="4"/>
      <c r="F2" s="4"/>
      <c r="G2" s="5"/>
      <c r="H2" s="5"/>
      <c r="I2" s="5"/>
      <c r="J2" s="5"/>
      <c r="K2" s="5"/>
    </row>
    <row r="3" spans="1:11" ht="15.75" customHeight="1" x14ac:dyDescent="0.25">
      <c r="A3" s="5"/>
      <c r="B3" s="5"/>
      <c r="C3" s="5"/>
      <c r="D3" s="5"/>
      <c r="E3" s="5"/>
      <c r="F3" s="5"/>
      <c r="G3" s="5"/>
      <c r="H3" s="5"/>
      <c r="I3" s="5"/>
      <c r="J3" s="5"/>
      <c r="K3" s="5"/>
    </row>
    <row r="4" spans="1:11" ht="15.75" customHeight="1" x14ac:dyDescent="0.25">
      <c r="A4" s="5"/>
      <c r="B4" s="5"/>
      <c r="C4" s="5"/>
      <c r="D4" s="5"/>
      <c r="E4" s="5"/>
      <c r="F4" s="5"/>
      <c r="G4" s="5"/>
      <c r="H4" s="5"/>
      <c r="I4" s="5"/>
      <c r="J4" s="5"/>
      <c r="K4" s="5"/>
    </row>
    <row r="5" spans="1:11" ht="27" customHeight="1" x14ac:dyDescent="0.25">
      <c r="A5" s="280" t="s">
        <v>14</v>
      </c>
      <c r="B5" s="281"/>
      <c r="C5" s="281"/>
      <c r="D5" s="281"/>
      <c r="E5" s="281"/>
      <c r="F5" s="281"/>
      <c r="G5" s="5"/>
      <c r="H5" s="5"/>
      <c r="I5" s="5"/>
      <c r="J5" s="5"/>
      <c r="K5" s="5"/>
    </row>
    <row r="6" spans="1:11" ht="27" customHeight="1" x14ac:dyDescent="0.25">
      <c r="A6" s="282" t="s">
        <v>242</v>
      </c>
      <c r="B6" s="281"/>
      <c r="C6" s="281"/>
      <c r="D6" s="281"/>
      <c r="E6" s="281"/>
      <c r="F6" s="281"/>
      <c r="G6" s="5"/>
      <c r="H6" s="5"/>
      <c r="I6" s="5"/>
      <c r="J6" s="5"/>
      <c r="K6" s="5"/>
    </row>
    <row r="7" spans="1:11" ht="15.75" customHeight="1" x14ac:dyDescent="0.25">
      <c r="A7" s="6"/>
      <c r="B7" s="6"/>
      <c r="C7" s="6"/>
      <c r="D7" s="6"/>
      <c r="E7" s="6"/>
      <c r="F7" s="6"/>
      <c r="G7" s="5"/>
      <c r="H7" s="5"/>
      <c r="I7" s="5"/>
      <c r="J7" s="5"/>
      <c r="K7" s="5"/>
    </row>
    <row r="8" spans="1:11" ht="15.75" customHeight="1" x14ac:dyDescent="0.25">
      <c r="A8" s="5"/>
      <c r="B8" s="5"/>
      <c r="C8" s="7"/>
      <c r="D8" s="5"/>
      <c r="E8" s="5"/>
      <c r="F8" s="7" t="s">
        <v>15</v>
      </c>
      <c r="G8" s="5"/>
      <c r="H8" s="5"/>
      <c r="I8" s="5"/>
      <c r="J8" s="5"/>
      <c r="K8" s="5"/>
    </row>
    <row r="9" spans="1:11" ht="27" customHeight="1" x14ac:dyDescent="0.25">
      <c r="A9" s="8" t="s">
        <v>16</v>
      </c>
      <c r="B9" s="8" t="s">
        <v>3</v>
      </c>
      <c r="C9" s="8" t="s">
        <v>4</v>
      </c>
      <c r="D9" s="8" t="s">
        <v>17</v>
      </c>
      <c r="E9" s="8" t="s">
        <v>18</v>
      </c>
      <c r="F9" s="8" t="s">
        <v>19</v>
      </c>
      <c r="G9" s="5"/>
      <c r="H9" s="5"/>
      <c r="I9" s="5"/>
      <c r="J9" s="5"/>
      <c r="K9" s="5"/>
    </row>
    <row r="10" spans="1:11" ht="27" customHeight="1" x14ac:dyDescent="0.25">
      <c r="A10" s="9">
        <v>1</v>
      </c>
      <c r="B10" s="10" t="s">
        <v>20</v>
      </c>
      <c r="C10" s="9" t="s">
        <v>21</v>
      </c>
      <c r="D10" s="9" t="s">
        <v>22</v>
      </c>
      <c r="E10" s="11">
        <f>'G.Giá trị phần mềm'!F20</f>
        <v>107335121.75060606</v>
      </c>
      <c r="F10" s="10" t="s">
        <v>23</v>
      </c>
      <c r="G10" s="5"/>
      <c r="H10" s="5"/>
      <c r="I10" s="5"/>
      <c r="J10" s="5"/>
      <c r="K10" s="5"/>
    </row>
    <row r="11" spans="1:11" ht="27" customHeight="1" x14ac:dyDescent="0.25">
      <c r="A11" s="9">
        <v>2</v>
      </c>
      <c r="B11" s="12" t="s">
        <v>8</v>
      </c>
      <c r="C11" s="9" t="s">
        <v>24</v>
      </c>
      <c r="D11" s="9" t="s">
        <v>25</v>
      </c>
      <c r="E11" s="13">
        <f>65%*(E10)</f>
        <v>69767829.137893945</v>
      </c>
      <c r="F11" s="283" t="s">
        <v>26</v>
      </c>
      <c r="G11" s="5"/>
      <c r="H11" s="5"/>
      <c r="I11" s="5"/>
      <c r="J11" s="5"/>
      <c r="K11" s="5"/>
    </row>
    <row r="12" spans="1:11" ht="27" customHeight="1" x14ac:dyDescent="0.25">
      <c r="A12" s="9">
        <v>3</v>
      </c>
      <c r="B12" s="10" t="s">
        <v>10</v>
      </c>
      <c r="C12" s="9" t="s">
        <v>27</v>
      </c>
      <c r="D12" s="9" t="s">
        <v>28</v>
      </c>
      <c r="E12" s="13">
        <f>6%*(E10+E11)</f>
        <v>10626177.053309999</v>
      </c>
      <c r="F12" s="284"/>
      <c r="G12" s="5"/>
      <c r="H12" s="14"/>
      <c r="I12" s="5"/>
      <c r="J12" s="5"/>
      <c r="K12" s="5"/>
    </row>
    <row r="13" spans="1:11" ht="27" customHeight="1" x14ac:dyDescent="0.25">
      <c r="A13" s="15">
        <v>4</v>
      </c>
      <c r="B13" s="16" t="s">
        <v>29</v>
      </c>
      <c r="C13" s="15" t="s">
        <v>30</v>
      </c>
      <c r="D13" s="15" t="s">
        <v>31</v>
      </c>
      <c r="E13" s="17">
        <f>SUM(E10:E12)</f>
        <v>187729127.94181001</v>
      </c>
      <c r="F13" s="285"/>
      <c r="G13" s="5"/>
      <c r="H13" s="14"/>
      <c r="I13" s="5"/>
      <c r="J13" s="5"/>
      <c r="K13" s="5"/>
    </row>
    <row r="14" spans="1:11" ht="15.75" customHeight="1" x14ac:dyDescent="0.25">
      <c r="A14" s="5"/>
      <c r="B14" s="5"/>
      <c r="C14" s="5"/>
      <c r="D14" s="5"/>
      <c r="E14" s="5"/>
      <c r="F14" s="5"/>
      <c r="G14" s="5"/>
      <c r="H14" s="5"/>
      <c r="I14" s="5"/>
      <c r="J14" s="5"/>
      <c r="K14" s="5"/>
    </row>
    <row r="15" spans="1:11" ht="15.75" customHeight="1" x14ac:dyDescent="0.25">
      <c r="A15" s="5"/>
      <c r="B15" s="5"/>
      <c r="C15" s="5"/>
      <c r="D15" s="5"/>
      <c r="E15" s="18"/>
      <c r="F15" s="5"/>
      <c r="G15" s="5"/>
      <c r="H15" s="5"/>
      <c r="I15" s="5"/>
      <c r="J15" s="5"/>
      <c r="K15" s="5"/>
    </row>
    <row r="16" spans="1:11" ht="15.75" customHeight="1" x14ac:dyDescent="0.25">
      <c r="A16" s="5"/>
      <c r="B16" s="5"/>
      <c r="C16" s="5"/>
      <c r="D16" s="5"/>
      <c r="E16" s="5"/>
      <c r="F16" s="5"/>
      <c r="G16" s="5"/>
      <c r="H16" s="5"/>
      <c r="I16" s="5"/>
      <c r="J16" s="5"/>
      <c r="K16" s="5"/>
    </row>
    <row r="17" spans="1:11" ht="15.75" customHeight="1" x14ac:dyDescent="0.25">
      <c r="A17" s="5"/>
      <c r="B17" s="5"/>
      <c r="C17" s="5"/>
      <c r="D17" s="5"/>
      <c r="E17" s="5"/>
      <c r="F17" s="5"/>
      <c r="G17" s="5"/>
      <c r="H17" s="5"/>
      <c r="I17" s="5"/>
      <c r="J17" s="5"/>
      <c r="K17" s="5"/>
    </row>
    <row r="18" spans="1:11" ht="15.75" customHeight="1" x14ac:dyDescent="0.25">
      <c r="A18" s="5"/>
      <c r="B18" s="19"/>
      <c r="C18" s="5"/>
      <c r="D18" s="5"/>
      <c r="E18" s="5"/>
      <c r="F18" s="5"/>
      <c r="G18" s="5"/>
      <c r="H18" s="5"/>
      <c r="I18" s="5"/>
      <c r="J18" s="5"/>
      <c r="K18" s="5"/>
    </row>
    <row r="19" spans="1:11" ht="15.75" customHeight="1" x14ac:dyDescent="0.25">
      <c r="A19" s="5"/>
      <c r="B19" s="5"/>
      <c r="C19" s="5"/>
      <c r="D19" s="5"/>
      <c r="E19" s="5"/>
      <c r="F19" s="5"/>
      <c r="G19" s="5"/>
      <c r="H19" s="5"/>
      <c r="I19" s="5"/>
      <c r="J19" s="5"/>
      <c r="K19" s="5"/>
    </row>
    <row r="20" spans="1:11" ht="15.75" customHeight="1" x14ac:dyDescent="0.25">
      <c r="A20" s="5"/>
      <c r="B20" s="5"/>
      <c r="C20" s="5"/>
      <c r="D20" s="5"/>
      <c r="E20" s="5"/>
      <c r="F20" s="5"/>
      <c r="G20" s="5"/>
      <c r="H20" s="5"/>
      <c r="I20" s="5"/>
      <c r="J20" s="5"/>
      <c r="K20" s="5"/>
    </row>
    <row r="21" spans="1:11" ht="15.75" customHeight="1" x14ac:dyDescent="0.25">
      <c r="A21" s="5"/>
      <c r="B21" s="5"/>
      <c r="C21" s="5"/>
      <c r="D21" s="5"/>
      <c r="E21" s="5"/>
      <c r="F21" s="5"/>
      <c r="G21" s="5"/>
      <c r="H21" s="5"/>
      <c r="I21" s="5"/>
      <c r="J21" s="5"/>
      <c r="K21" s="5"/>
    </row>
    <row r="22" spans="1:11" ht="15.75" customHeight="1" x14ac:dyDescent="0.25">
      <c r="A22" s="5"/>
      <c r="B22" s="5"/>
      <c r="C22" s="5"/>
      <c r="D22" s="5"/>
      <c r="E22" s="5"/>
      <c r="F22" s="5"/>
      <c r="G22" s="5"/>
      <c r="H22" s="5"/>
      <c r="I22" s="5"/>
      <c r="J22" s="5"/>
      <c r="K22" s="5"/>
    </row>
    <row r="23" spans="1:11" ht="15.75" customHeight="1" x14ac:dyDescent="0.25">
      <c r="A23" s="5"/>
      <c r="B23" s="5"/>
      <c r="C23" s="5"/>
      <c r="D23" s="5"/>
      <c r="E23" s="5"/>
      <c r="F23" s="5"/>
      <c r="G23" s="5"/>
      <c r="H23" s="5"/>
      <c r="I23" s="5"/>
      <c r="J23" s="5"/>
      <c r="K23" s="5"/>
    </row>
    <row r="24" spans="1:11" ht="15.75" customHeight="1" x14ac:dyDescent="0.25">
      <c r="A24" s="5"/>
      <c r="B24" s="5"/>
      <c r="C24" s="5"/>
      <c r="D24" s="5"/>
      <c r="E24" s="5"/>
      <c r="F24" s="5"/>
      <c r="G24" s="5"/>
      <c r="H24" s="5"/>
      <c r="I24" s="5"/>
      <c r="J24" s="5"/>
      <c r="K24" s="5"/>
    </row>
    <row r="25" spans="1:11" ht="15.75" customHeight="1" x14ac:dyDescent="0.25">
      <c r="A25" s="5"/>
      <c r="B25" s="5"/>
      <c r="C25" s="5"/>
      <c r="D25" s="5"/>
      <c r="E25" s="5"/>
      <c r="F25" s="5"/>
      <c r="G25" s="5"/>
      <c r="H25" s="5"/>
      <c r="I25" s="5"/>
      <c r="J25" s="5"/>
      <c r="K25" s="5"/>
    </row>
    <row r="26" spans="1:11" ht="15.75" customHeight="1" x14ac:dyDescent="0.25">
      <c r="A26" s="5"/>
      <c r="B26" s="5"/>
      <c r="C26" s="5"/>
      <c r="D26" s="5"/>
      <c r="E26" s="5"/>
      <c r="F26" s="5"/>
      <c r="G26" s="5"/>
      <c r="H26" s="5"/>
      <c r="I26" s="5"/>
      <c r="J26" s="5"/>
      <c r="K26" s="5"/>
    </row>
    <row r="27" spans="1:11" ht="15.75" customHeight="1" x14ac:dyDescent="0.25">
      <c r="A27" s="5"/>
      <c r="B27" s="5"/>
      <c r="C27" s="5"/>
      <c r="D27" s="5"/>
      <c r="E27" s="5"/>
      <c r="F27" s="5"/>
      <c r="G27" s="5"/>
      <c r="H27" s="5"/>
      <c r="I27" s="5"/>
      <c r="J27" s="5"/>
      <c r="K27" s="5"/>
    </row>
    <row r="28" spans="1:11" ht="15.75" customHeight="1" x14ac:dyDescent="0.25">
      <c r="A28" s="5"/>
      <c r="B28" s="5"/>
      <c r="C28" s="5"/>
      <c r="D28" s="5"/>
      <c r="E28" s="5"/>
      <c r="F28" s="5"/>
      <c r="G28" s="5"/>
      <c r="H28" s="5"/>
      <c r="I28" s="5"/>
      <c r="J28" s="5"/>
      <c r="K28" s="5"/>
    </row>
    <row r="29" spans="1:11" ht="15.75" customHeight="1" x14ac:dyDescent="0.25">
      <c r="A29" s="5"/>
      <c r="B29" s="5"/>
      <c r="C29" s="5"/>
      <c r="D29" s="5"/>
      <c r="E29" s="5"/>
      <c r="F29" s="5"/>
      <c r="G29" s="5"/>
      <c r="H29" s="5"/>
      <c r="I29" s="5"/>
      <c r="J29" s="5"/>
      <c r="K29" s="5"/>
    </row>
    <row r="30" spans="1:11" ht="15.75" customHeight="1" x14ac:dyDescent="0.25">
      <c r="A30" s="5"/>
      <c r="B30" s="5"/>
      <c r="C30" s="5"/>
      <c r="D30" s="5"/>
      <c r="E30" s="5"/>
      <c r="F30" s="5"/>
      <c r="G30" s="5"/>
      <c r="H30" s="5"/>
      <c r="I30" s="5"/>
      <c r="J30" s="5"/>
      <c r="K30" s="5"/>
    </row>
    <row r="31" spans="1:11" ht="15.75" customHeight="1" x14ac:dyDescent="0.25">
      <c r="A31" s="5"/>
      <c r="B31" s="5"/>
      <c r="C31" s="5"/>
      <c r="D31" s="5"/>
      <c r="E31" s="5"/>
      <c r="F31" s="5"/>
      <c r="G31" s="5"/>
      <c r="H31" s="5"/>
      <c r="I31" s="5"/>
      <c r="J31" s="5"/>
      <c r="K31" s="5"/>
    </row>
    <row r="32" spans="1:11" ht="15.75" customHeight="1" x14ac:dyDescent="0.25">
      <c r="A32" s="5"/>
      <c r="B32" s="5"/>
      <c r="C32" s="5"/>
      <c r="D32" s="5"/>
      <c r="E32" s="5"/>
      <c r="F32" s="5"/>
      <c r="G32" s="5"/>
      <c r="H32" s="5"/>
      <c r="I32" s="5"/>
      <c r="J32" s="5"/>
      <c r="K32" s="5"/>
    </row>
    <row r="33" spans="1:11" ht="15.75" customHeight="1" x14ac:dyDescent="0.25">
      <c r="A33" s="5"/>
      <c r="B33" s="5"/>
      <c r="C33" s="5"/>
      <c r="D33" s="5"/>
      <c r="E33" s="5"/>
      <c r="F33" s="5"/>
      <c r="G33" s="5"/>
      <c r="H33" s="5"/>
      <c r="I33" s="5"/>
      <c r="J33" s="5"/>
      <c r="K33" s="5"/>
    </row>
    <row r="34" spans="1:11" ht="15.75" customHeight="1" x14ac:dyDescent="0.25">
      <c r="A34" s="5"/>
      <c r="B34" s="5"/>
      <c r="C34" s="5"/>
      <c r="D34" s="5"/>
      <c r="E34" s="5"/>
      <c r="F34" s="5"/>
      <c r="G34" s="5"/>
      <c r="H34" s="5"/>
      <c r="I34" s="5"/>
      <c r="J34" s="5"/>
      <c r="K34" s="5"/>
    </row>
    <row r="35" spans="1:11" ht="15.75" customHeight="1" x14ac:dyDescent="0.25">
      <c r="A35" s="5"/>
      <c r="B35" s="5"/>
      <c r="C35" s="5"/>
      <c r="D35" s="5"/>
      <c r="E35" s="5"/>
      <c r="F35" s="5"/>
      <c r="G35" s="5"/>
      <c r="H35" s="5"/>
      <c r="I35" s="5"/>
      <c r="J35" s="5"/>
      <c r="K35" s="5"/>
    </row>
    <row r="36" spans="1:11" ht="15.75" customHeight="1" x14ac:dyDescent="0.25">
      <c r="A36" s="5"/>
      <c r="B36" s="5"/>
      <c r="C36" s="5"/>
      <c r="D36" s="5"/>
      <c r="E36" s="5"/>
      <c r="F36" s="5"/>
      <c r="G36" s="5"/>
      <c r="H36" s="5"/>
      <c r="I36" s="5"/>
      <c r="J36" s="5"/>
      <c r="K36" s="5"/>
    </row>
    <row r="37" spans="1:11" ht="15.75" customHeight="1" x14ac:dyDescent="0.25">
      <c r="A37" s="5"/>
      <c r="B37" s="5"/>
      <c r="C37" s="5"/>
      <c r="D37" s="5"/>
      <c r="E37" s="5"/>
      <c r="F37" s="5"/>
      <c r="G37" s="5"/>
      <c r="H37" s="5"/>
      <c r="I37" s="5"/>
      <c r="J37" s="5"/>
      <c r="K37" s="5"/>
    </row>
    <row r="38" spans="1:11" ht="15.75" customHeight="1" x14ac:dyDescent="0.25">
      <c r="A38" s="5"/>
      <c r="B38" s="5"/>
      <c r="C38" s="5"/>
      <c r="D38" s="5"/>
      <c r="E38" s="5"/>
      <c r="F38" s="5"/>
      <c r="G38" s="5"/>
      <c r="H38" s="5"/>
      <c r="I38" s="5"/>
      <c r="J38" s="5"/>
      <c r="K38" s="5"/>
    </row>
    <row r="39" spans="1:11" ht="15.75" customHeight="1" x14ac:dyDescent="0.25">
      <c r="A39" s="5"/>
      <c r="B39" s="5"/>
      <c r="C39" s="5"/>
      <c r="D39" s="5"/>
      <c r="E39" s="5"/>
      <c r="F39" s="5"/>
      <c r="G39" s="5"/>
      <c r="H39" s="5"/>
      <c r="I39" s="5"/>
      <c r="J39" s="5"/>
      <c r="K39" s="5"/>
    </row>
    <row r="40" spans="1:11" ht="15.75" customHeight="1" x14ac:dyDescent="0.25">
      <c r="A40" s="5"/>
      <c r="B40" s="5"/>
      <c r="C40" s="5"/>
      <c r="D40" s="5"/>
      <c r="E40" s="5"/>
      <c r="F40" s="5"/>
      <c r="G40" s="5"/>
      <c r="H40" s="5"/>
      <c r="I40" s="5"/>
      <c r="J40" s="5"/>
      <c r="K40" s="5"/>
    </row>
    <row r="41" spans="1:11" ht="15.75" customHeight="1" x14ac:dyDescent="0.25">
      <c r="A41" s="5"/>
      <c r="B41" s="5"/>
      <c r="C41" s="5"/>
      <c r="D41" s="5"/>
      <c r="E41" s="5"/>
      <c r="F41" s="5"/>
      <c r="G41" s="5"/>
      <c r="H41" s="5"/>
      <c r="I41" s="5"/>
      <c r="J41" s="5"/>
      <c r="K41" s="5"/>
    </row>
    <row r="42" spans="1:11" ht="15.75" customHeight="1" x14ac:dyDescent="0.25">
      <c r="A42" s="5"/>
      <c r="B42" s="5"/>
      <c r="C42" s="5"/>
      <c r="D42" s="5"/>
      <c r="E42" s="5"/>
      <c r="F42" s="5"/>
      <c r="G42" s="5"/>
      <c r="H42" s="5"/>
      <c r="I42" s="5"/>
      <c r="J42" s="5"/>
      <c r="K42" s="5"/>
    </row>
    <row r="43" spans="1:11" ht="15.75" customHeight="1" x14ac:dyDescent="0.25">
      <c r="A43" s="5"/>
      <c r="B43" s="5"/>
      <c r="C43" s="5"/>
      <c r="D43" s="5"/>
      <c r="E43" s="5"/>
      <c r="F43" s="5"/>
      <c r="G43" s="5"/>
      <c r="H43" s="5"/>
      <c r="I43" s="5"/>
      <c r="J43" s="5"/>
      <c r="K43" s="5"/>
    </row>
    <row r="44" spans="1:11" ht="15.75" customHeight="1" x14ac:dyDescent="0.25">
      <c r="A44" s="5"/>
      <c r="B44" s="5"/>
      <c r="C44" s="5"/>
      <c r="D44" s="5"/>
      <c r="E44" s="5"/>
      <c r="F44" s="5"/>
      <c r="G44" s="5"/>
      <c r="H44" s="5"/>
      <c r="I44" s="5"/>
      <c r="J44" s="5"/>
      <c r="K44" s="5"/>
    </row>
    <row r="45" spans="1:11" ht="15.75" customHeight="1" x14ac:dyDescent="0.25">
      <c r="A45" s="5"/>
      <c r="B45" s="5"/>
      <c r="C45" s="5"/>
      <c r="D45" s="5"/>
      <c r="E45" s="5"/>
      <c r="F45" s="5"/>
      <c r="G45" s="5"/>
      <c r="H45" s="5"/>
      <c r="I45" s="5"/>
      <c r="J45" s="5"/>
      <c r="K45" s="5"/>
    </row>
    <row r="46" spans="1:11" ht="15.75" customHeight="1" x14ac:dyDescent="0.25">
      <c r="A46" s="5"/>
      <c r="B46" s="5"/>
      <c r="C46" s="5"/>
      <c r="D46" s="5"/>
      <c r="E46" s="5"/>
      <c r="F46" s="5"/>
      <c r="G46" s="5"/>
      <c r="H46" s="5"/>
      <c r="I46" s="5"/>
      <c r="J46" s="5"/>
      <c r="K46" s="5"/>
    </row>
    <row r="47" spans="1:11" ht="15.75" customHeight="1" x14ac:dyDescent="0.25">
      <c r="A47" s="5"/>
      <c r="B47" s="5"/>
      <c r="C47" s="5"/>
      <c r="D47" s="5"/>
      <c r="E47" s="5"/>
      <c r="F47" s="5"/>
      <c r="G47" s="5"/>
      <c r="H47" s="5"/>
      <c r="I47" s="5"/>
      <c r="J47" s="5"/>
      <c r="K47" s="5"/>
    </row>
    <row r="48" spans="1:11" ht="15.75" customHeight="1" x14ac:dyDescent="0.25">
      <c r="A48" s="5"/>
      <c r="B48" s="5"/>
      <c r="C48" s="5"/>
      <c r="D48" s="5"/>
      <c r="E48" s="5"/>
      <c r="F48" s="5"/>
      <c r="G48" s="5"/>
      <c r="H48" s="5"/>
      <c r="I48" s="5"/>
      <c r="J48" s="5"/>
      <c r="K48" s="5"/>
    </row>
    <row r="49" spans="1:11" ht="15.75" customHeight="1" x14ac:dyDescent="0.25">
      <c r="A49" s="5"/>
      <c r="B49" s="5"/>
      <c r="C49" s="5"/>
      <c r="D49" s="5"/>
      <c r="E49" s="5"/>
      <c r="F49" s="5"/>
      <c r="G49" s="5"/>
      <c r="H49" s="5"/>
      <c r="I49" s="5"/>
      <c r="J49" s="5"/>
      <c r="K49" s="5"/>
    </row>
    <row r="50" spans="1:11" ht="15.75" customHeight="1" x14ac:dyDescent="0.25">
      <c r="A50" s="5"/>
      <c r="B50" s="5"/>
      <c r="C50" s="5"/>
      <c r="D50" s="5"/>
      <c r="E50" s="5"/>
      <c r="F50" s="5"/>
      <c r="G50" s="5"/>
      <c r="H50" s="5"/>
      <c r="I50" s="5"/>
      <c r="J50" s="5"/>
      <c r="K50" s="5"/>
    </row>
    <row r="51" spans="1:11" ht="15.75" customHeight="1" x14ac:dyDescent="0.25">
      <c r="A51" s="5"/>
      <c r="B51" s="5"/>
      <c r="C51" s="5"/>
      <c r="D51" s="5"/>
      <c r="E51" s="5"/>
      <c r="F51" s="5"/>
      <c r="G51" s="5"/>
      <c r="H51" s="5"/>
      <c r="I51" s="5"/>
      <c r="J51" s="5"/>
      <c r="K51" s="5"/>
    </row>
    <row r="52" spans="1:11" ht="15.75" customHeight="1" x14ac:dyDescent="0.25">
      <c r="A52" s="5"/>
      <c r="B52" s="5"/>
      <c r="C52" s="5"/>
      <c r="D52" s="5"/>
      <c r="E52" s="5"/>
      <c r="F52" s="5"/>
      <c r="G52" s="5"/>
      <c r="H52" s="5"/>
      <c r="I52" s="5"/>
      <c r="J52" s="5"/>
      <c r="K52" s="5"/>
    </row>
    <row r="53" spans="1:11" ht="15.75" customHeight="1" x14ac:dyDescent="0.25">
      <c r="A53" s="5"/>
      <c r="B53" s="5"/>
      <c r="C53" s="5"/>
      <c r="D53" s="5"/>
      <c r="E53" s="5"/>
      <c r="F53" s="5"/>
      <c r="G53" s="5"/>
      <c r="H53" s="5"/>
      <c r="I53" s="5"/>
      <c r="J53" s="5"/>
      <c r="K53" s="5"/>
    </row>
    <row r="54" spans="1:11" ht="15.75" customHeight="1" x14ac:dyDescent="0.25">
      <c r="A54" s="5"/>
      <c r="B54" s="5"/>
      <c r="C54" s="5"/>
      <c r="D54" s="5"/>
      <c r="E54" s="5"/>
      <c r="F54" s="5"/>
      <c r="G54" s="5"/>
      <c r="H54" s="5"/>
      <c r="I54" s="5"/>
      <c r="J54" s="5"/>
      <c r="K54" s="5"/>
    </row>
    <row r="55" spans="1:11" ht="15.75" customHeight="1" x14ac:dyDescent="0.25">
      <c r="A55" s="5"/>
      <c r="B55" s="5"/>
      <c r="C55" s="5"/>
      <c r="D55" s="5"/>
      <c r="E55" s="5"/>
      <c r="F55" s="5"/>
      <c r="G55" s="5"/>
      <c r="H55" s="5"/>
      <c r="I55" s="5"/>
      <c r="J55" s="5"/>
      <c r="K55" s="5"/>
    </row>
    <row r="56" spans="1:11" ht="15.75" customHeight="1" x14ac:dyDescent="0.25">
      <c r="A56" s="5"/>
      <c r="B56" s="5"/>
      <c r="C56" s="5"/>
      <c r="D56" s="5"/>
      <c r="E56" s="5"/>
      <c r="F56" s="5"/>
      <c r="G56" s="5"/>
      <c r="H56" s="5"/>
      <c r="I56" s="5"/>
      <c r="J56" s="5"/>
      <c r="K56" s="5"/>
    </row>
    <row r="57" spans="1:11" ht="15.75" customHeight="1" x14ac:dyDescent="0.25">
      <c r="A57" s="5"/>
      <c r="B57" s="5"/>
      <c r="C57" s="5"/>
      <c r="D57" s="5"/>
      <c r="E57" s="5"/>
      <c r="F57" s="5"/>
      <c r="G57" s="5"/>
      <c r="H57" s="5"/>
      <c r="I57" s="5"/>
      <c r="J57" s="5"/>
      <c r="K57" s="5"/>
    </row>
    <row r="58" spans="1:11" ht="15.75" customHeight="1" x14ac:dyDescent="0.25">
      <c r="A58" s="5"/>
      <c r="B58" s="5"/>
      <c r="C58" s="5"/>
      <c r="D58" s="5"/>
      <c r="E58" s="5"/>
      <c r="F58" s="5"/>
      <c r="G58" s="5"/>
      <c r="H58" s="5"/>
      <c r="I58" s="5"/>
      <c r="J58" s="5"/>
      <c r="K58" s="5"/>
    </row>
    <row r="59" spans="1:11" ht="15.75" customHeight="1" x14ac:dyDescent="0.25">
      <c r="A59" s="5"/>
      <c r="B59" s="5"/>
      <c r="C59" s="5"/>
      <c r="D59" s="5"/>
      <c r="E59" s="5"/>
      <c r="F59" s="5"/>
      <c r="G59" s="5"/>
      <c r="H59" s="5"/>
      <c r="I59" s="5"/>
      <c r="J59" s="5"/>
      <c r="K59" s="5"/>
    </row>
    <row r="60" spans="1:11" ht="15.75" customHeight="1" x14ac:dyDescent="0.25">
      <c r="A60" s="5"/>
      <c r="B60" s="5"/>
      <c r="C60" s="5"/>
      <c r="D60" s="5"/>
      <c r="E60" s="5"/>
      <c r="F60" s="5"/>
      <c r="G60" s="5"/>
      <c r="H60" s="5"/>
      <c r="I60" s="5"/>
      <c r="J60" s="5"/>
      <c r="K60" s="5"/>
    </row>
    <row r="61" spans="1:11" ht="15.75" customHeight="1" x14ac:dyDescent="0.25">
      <c r="A61" s="5"/>
      <c r="B61" s="5"/>
      <c r="C61" s="5"/>
      <c r="D61" s="5"/>
      <c r="E61" s="5"/>
      <c r="F61" s="5"/>
      <c r="G61" s="5"/>
      <c r="H61" s="5"/>
      <c r="I61" s="5"/>
      <c r="J61" s="5"/>
      <c r="K61" s="5"/>
    </row>
    <row r="62" spans="1:11" ht="15.75" customHeight="1" x14ac:dyDescent="0.25">
      <c r="A62" s="5"/>
      <c r="B62" s="5"/>
      <c r="C62" s="5"/>
      <c r="D62" s="5"/>
      <c r="E62" s="5"/>
      <c r="F62" s="5"/>
      <c r="G62" s="5"/>
      <c r="H62" s="5"/>
      <c r="I62" s="5"/>
      <c r="J62" s="5"/>
      <c r="K62" s="5"/>
    </row>
    <row r="63" spans="1:11" ht="15.75" customHeight="1" x14ac:dyDescent="0.25">
      <c r="A63" s="5"/>
      <c r="B63" s="5"/>
      <c r="C63" s="5"/>
      <c r="D63" s="5"/>
      <c r="E63" s="5"/>
      <c r="F63" s="5"/>
      <c r="G63" s="5"/>
      <c r="H63" s="5"/>
      <c r="I63" s="5"/>
      <c r="J63" s="5"/>
      <c r="K63" s="5"/>
    </row>
    <row r="64" spans="1:11" ht="15.75" customHeight="1" x14ac:dyDescent="0.25">
      <c r="A64" s="5"/>
      <c r="B64" s="5"/>
      <c r="C64" s="5"/>
      <c r="D64" s="5"/>
      <c r="E64" s="5"/>
      <c r="F64" s="5"/>
      <c r="G64" s="5"/>
      <c r="H64" s="5"/>
      <c r="I64" s="5"/>
      <c r="J64" s="5"/>
      <c r="K64" s="5"/>
    </row>
    <row r="65" spans="1:11" ht="15.75" customHeight="1" x14ac:dyDescent="0.25">
      <c r="A65" s="5"/>
      <c r="B65" s="5"/>
      <c r="C65" s="5"/>
      <c r="D65" s="5"/>
      <c r="E65" s="5"/>
      <c r="F65" s="5"/>
      <c r="G65" s="5"/>
      <c r="H65" s="5"/>
      <c r="I65" s="5"/>
      <c r="J65" s="5"/>
      <c r="K65" s="5"/>
    </row>
    <row r="66" spans="1:11" ht="15.75" customHeight="1" x14ac:dyDescent="0.25">
      <c r="A66" s="5"/>
      <c r="B66" s="5"/>
      <c r="C66" s="5"/>
      <c r="D66" s="5"/>
      <c r="E66" s="5"/>
      <c r="F66" s="5"/>
      <c r="G66" s="5"/>
      <c r="H66" s="5"/>
      <c r="I66" s="5"/>
      <c r="J66" s="5"/>
      <c r="K66" s="5"/>
    </row>
    <row r="67" spans="1:11" ht="15.75" customHeight="1" x14ac:dyDescent="0.25">
      <c r="A67" s="5"/>
      <c r="B67" s="5"/>
      <c r="C67" s="5"/>
      <c r="D67" s="5"/>
      <c r="E67" s="5"/>
      <c r="F67" s="5"/>
      <c r="G67" s="5"/>
      <c r="H67" s="5"/>
      <c r="I67" s="5"/>
      <c r="J67" s="5"/>
      <c r="K67" s="5"/>
    </row>
    <row r="68" spans="1:11" ht="15.75" customHeight="1" x14ac:dyDescent="0.25">
      <c r="A68" s="5"/>
      <c r="B68" s="5"/>
      <c r="C68" s="5"/>
      <c r="D68" s="5"/>
      <c r="E68" s="5"/>
      <c r="F68" s="5"/>
      <c r="G68" s="5"/>
      <c r="H68" s="5"/>
      <c r="I68" s="5"/>
      <c r="J68" s="5"/>
      <c r="K68" s="5"/>
    </row>
    <row r="69" spans="1:11" ht="15.75" customHeight="1" x14ac:dyDescent="0.25">
      <c r="A69" s="5"/>
      <c r="B69" s="5"/>
      <c r="C69" s="5"/>
      <c r="D69" s="5"/>
      <c r="E69" s="5"/>
      <c r="F69" s="5"/>
      <c r="G69" s="5"/>
      <c r="H69" s="5"/>
      <c r="I69" s="5"/>
      <c r="J69" s="5"/>
      <c r="K69" s="5"/>
    </row>
    <row r="70" spans="1:11" ht="15.75" customHeight="1" x14ac:dyDescent="0.25">
      <c r="A70" s="5"/>
      <c r="B70" s="5"/>
      <c r="C70" s="5"/>
      <c r="D70" s="5"/>
      <c r="E70" s="5"/>
      <c r="F70" s="5"/>
      <c r="G70" s="5"/>
      <c r="H70" s="5"/>
      <c r="I70" s="5"/>
      <c r="J70" s="5"/>
      <c r="K70" s="5"/>
    </row>
    <row r="71" spans="1:11" ht="15.75" customHeight="1" x14ac:dyDescent="0.25">
      <c r="A71" s="5"/>
      <c r="B71" s="5"/>
      <c r="C71" s="5"/>
      <c r="D71" s="5"/>
      <c r="E71" s="5"/>
      <c r="F71" s="5"/>
      <c r="G71" s="5"/>
      <c r="H71" s="5"/>
      <c r="I71" s="5"/>
      <c r="J71" s="5"/>
      <c r="K71" s="5"/>
    </row>
    <row r="72" spans="1:11" ht="15.75" customHeight="1" x14ac:dyDescent="0.25">
      <c r="A72" s="5"/>
      <c r="B72" s="5"/>
      <c r="C72" s="5"/>
      <c r="D72" s="5"/>
      <c r="E72" s="5"/>
      <c r="F72" s="5"/>
      <c r="G72" s="5"/>
      <c r="H72" s="5"/>
      <c r="I72" s="5"/>
      <c r="J72" s="5"/>
      <c r="K72" s="5"/>
    </row>
    <row r="73" spans="1:11" ht="15.75" customHeight="1" x14ac:dyDescent="0.25">
      <c r="A73" s="5"/>
      <c r="B73" s="5"/>
      <c r="C73" s="5"/>
      <c r="D73" s="5"/>
      <c r="E73" s="5"/>
      <c r="F73" s="5"/>
      <c r="G73" s="5"/>
      <c r="H73" s="5"/>
      <c r="I73" s="5"/>
      <c r="J73" s="5"/>
      <c r="K73" s="5"/>
    </row>
    <row r="74" spans="1:11" ht="15.75" customHeight="1" x14ac:dyDescent="0.25">
      <c r="A74" s="5"/>
      <c r="B74" s="5"/>
      <c r="C74" s="5"/>
      <c r="D74" s="5"/>
      <c r="E74" s="5"/>
      <c r="F74" s="5"/>
      <c r="G74" s="5"/>
      <c r="H74" s="5"/>
      <c r="I74" s="5"/>
      <c r="J74" s="5"/>
      <c r="K74" s="5"/>
    </row>
    <row r="75" spans="1:11" ht="15.75" customHeight="1" x14ac:dyDescent="0.25">
      <c r="A75" s="5"/>
      <c r="B75" s="5"/>
      <c r="C75" s="5"/>
      <c r="D75" s="5"/>
      <c r="E75" s="5"/>
      <c r="F75" s="5"/>
      <c r="G75" s="5"/>
      <c r="H75" s="5"/>
      <c r="I75" s="5"/>
      <c r="J75" s="5"/>
      <c r="K75" s="5"/>
    </row>
    <row r="76" spans="1:11" ht="15.75" customHeight="1" x14ac:dyDescent="0.25">
      <c r="A76" s="5"/>
      <c r="B76" s="5"/>
      <c r="C76" s="5"/>
      <c r="D76" s="5"/>
      <c r="E76" s="5"/>
      <c r="F76" s="5"/>
      <c r="G76" s="5"/>
      <c r="H76" s="5"/>
      <c r="I76" s="5"/>
      <c r="J76" s="5"/>
      <c r="K76" s="5"/>
    </row>
    <row r="77" spans="1:11" ht="15.75" customHeight="1" x14ac:dyDescent="0.25">
      <c r="A77" s="5"/>
      <c r="B77" s="5"/>
      <c r="C77" s="5"/>
      <c r="D77" s="5"/>
      <c r="E77" s="5"/>
      <c r="F77" s="5"/>
      <c r="G77" s="5"/>
      <c r="H77" s="5"/>
      <c r="I77" s="5"/>
      <c r="J77" s="5"/>
      <c r="K77" s="5"/>
    </row>
    <row r="78" spans="1:11" ht="15.75" customHeight="1" x14ac:dyDescent="0.25">
      <c r="A78" s="5"/>
      <c r="B78" s="5"/>
      <c r="C78" s="5"/>
      <c r="D78" s="5"/>
      <c r="E78" s="5"/>
      <c r="F78" s="5"/>
      <c r="G78" s="5"/>
      <c r="H78" s="5"/>
      <c r="I78" s="5"/>
      <c r="J78" s="5"/>
      <c r="K78" s="5"/>
    </row>
    <row r="79" spans="1:11" ht="15.75" customHeight="1" x14ac:dyDescent="0.25">
      <c r="A79" s="5"/>
      <c r="B79" s="5"/>
      <c r="C79" s="5"/>
      <c r="D79" s="5"/>
      <c r="E79" s="5"/>
      <c r="F79" s="5"/>
      <c r="G79" s="5"/>
      <c r="H79" s="5"/>
      <c r="I79" s="5"/>
      <c r="J79" s="5"/>
      <c r="K79" s="5"/>
    </row>
    <row r="80" spans="1:11" ht="15.75" customHeight="1" x14ac:dyDescent="0.25">
      <c r="A80" s="5"/>
      <c r="B80" s="5"/>
      <c r="C80" s="5"/>
      <c r="D80" s="5"/>
      <c r="E80" s="5"/>
      <c r="F80" s="5"/>
      <c r="G80" s="5"/>
      <c r="H80" s="5"/>
      <c r="I80" s="5"/>
      <c r="J80" s="5"/>
      <c r="K80" s="5"/>
    </row>
    <row r="81" spans="1:11" ht="15.75" customHeight="1" x14ac:dyDescent="0.25">
      <c r="A81" s="5"/>
      <c r="B81" s="5"/>
      <c r="C81" s="5"/>
      <c r="D81" s="5"/>
      <c r="E81" s="5"/>
      <c r="F81" s="5"/>
      <c r="G81" s="5"/>
      <c r="H81" s="5"/>
      <c r="I81" s="5"/>
      <c r="J81" s="5"/>
      <c r="K81" s="5"/>
    </row>
    <row r="82" spans="1:11" ht="15.75" customHeight="1" x14ac:dyDescent="0.25">
      <c r="A82" s="5"/>
      <c r="B82" s="5"/>
      <c r="C82" s="5"/>
      <c r="D82" s="5"/>
      <c r="E82" s="5"/>
      <c r="F82" s="5"/>
      <c r="G82" s="5"/>
      <c r="H82" s="5"/>
      <c r="I82" s="5"/>
      <c r="J82" s="5"/>
      <c r="K82" s="5"/>
    </row>
    <row r="83" spans="1:11" ht="15.75" customHeight="1" x14ac:dyDescent="0.25">
      <c r="A83" s="5"/>
      <c r="B83" s="5"/>
      <c r="C83" s="5"/>
      <c r="D83" s="5"/>
      <c r="E83" s="5"/>
      <c r="F83" s="5"/>
      <c r="G83" s="5"/>
      <c r="H83" s="5"/>
      <c r="I83" s="5"/>
      <c r="J83" s="5"/>
      <c r="K83" s="5"/>
    </row>
    <row r="84" spans="1:11" ht="15.75" customHeight="1" x14ac:dyDescent="0.25">
      <c r="A84" s="5"/>
      <c r="B84" s="5"/>
      <c r="C84" s="5"/>
      <c r="D84" s="5"/>
      <c r="E84" s="5"/>
      <c r="F84" s="5"/>
      <c r="G84" s="5"/>
      <c r="H84" s="5"/>
      <c r="I84" s="5"/>
      <c r="J84" s="5"/>
      <c r="K84" s="5"/>
    </row>
    <row r="85" spans="1:11" ht="15.75" customHeight="1" x14ac:dyDescent="0.25">
      <c r="A85" s="5"/>
      <c r="B85" s="5"/>
      <c r="C85" s="5"/>
      <c r="D85" s="5"/>
      <c r="E85" s="5"/>
      <c r="F85" s="5"/>
      <c r="G85" s="5"/>
      <c r="H85" s="5"/>
      <c r="I85" s="5"/>
      <c r="J85" s="5"/>
      <c r="K85" s="5"/>
    </row>
    <row r="86" spans="1:11" ht="15.75" customHeight="1" x14ac:dyDescent="0.25">
      <c r="A86" s="5"/>
      <c r="B86" s="5"/>
      <c r="C86" s="5"/>
      <c r="D86" s="5"/>
      <c r="E86" s="5"/>
      <c r="F86" s="5"/>
      <c r="G86" s="5"/>
      <c r="H86" s="5"/>
      <c r="I86" s="5"/>
      <c r="J86" s="5"/>
      <c r="K86" s="5"/>
    </row>
    <row r="87" spans="1:11" ht="15.75" customHeight="1" x14ac:dyDescent="0.25">
      <c r="A87" s="5"/>
      <c r="B87" s="5"/>
      <c r="C87" s="5"/>
      <c r="D87" s="5"/>
      <c r="E87" s="5"/>
      <c r="F87" s="5"/>
      <c r="G87" s="5"/>
      <c r="H87" s="5"/>
      <c r="I87" s="5"/>
      <c r="J87" s="5"/>
      <c r="K87" s="5"/>
    </row>
    <row r="88" spans="1:11" ht="15.75" customHeight="1" x14ac:dyDescent="0.25">
      <c r="A88" s="5"/>
      <c r="B88" s="5"/>
      <c r="C88" s="5"/>
      <c r="D88" s="5"/>
      <c r="E88" s="5"/>
      <c r="F88" s="5"/>
      <c r="G88" s="5"/>
      <c r="H88" s="5"/>
      <c r="I88" s="5"/>
      <c r="J88" s="5"/>
      <c r="K88" s="5"/>
    </row>
    <row r="89" spans="1:11" ht="15.75" customHeight="1" x14ac:dyDescent="0.25">
      <c r="A89" s="5"/>
      <c r="B89" s="5"/>
      <c r="C89" s="5"/>
      <c r="D89" s="5"/>
      <c r="E89" s="5"/>
      <c r="F89" s="5"/>
      <c r="G89" s="5"/>
      <c r="H89" s="5"/>
      <c r="I89" s="5"/>
      <c r="J89" s="5"/>
      <c r="K89" s="5"/>
    </row>
    <row r="90" spans="1:11" ht="15.75" customHeight="1" x14ac:dyDescent="0.25">
      <c r="A90" s="5"/>
      <c r="B90" s="5"/>
      <c r="C90" s="5"/>
      <c r="D90" s="5"/>
      <c r="E90" s="5"/>
      <c r="F90" s="5"/>
      <c r="G90" s="5"/>
      <c r="H90" s="5"/>
      <c r="I90" s="5"/>
      <c r="J90" s="5"/>
      <c r="K90" s="5"/>
    </row>
    <row r="91" spans="1:11" ht="15.75" customHeight="1" x14ac:dyDescent="0.25">
      <c r="A91" s="5"/>
      <c r="B91" s="5"/>
      <c r="C91" s="5"/>
      <c r="D91" s="5"/>
      <c r="E91" s="5"/>
      <c r="F91" s="5"/>
      <c r="G91" s="5"/>
      <c r="H91" s="5"/>
      <c r="I91" s="5"/>
      <c r="J91" s="5"/>
      <c r="K91" s="5"/>
    </row>
    <row r="92" spans="1:11" ht="15.75" customHeight="1" x14ac:dyDescent="0.25">
      <c r="A92" s="5"/>
      <c r="B92" s="5"/>
      <c r="C92" s="5"/>
      <c r="D92" s="5"/>
      <c r="E92" s="5"/>
      <c r="F92" s="5"/>
      <c r="G92" s="5"/>
      <c r="H92" s="5"/>
      <c r="I92" s="5"/>
      <c r="J92" s="5"/>
      <c r="K92" s="5"/>
    </row>
    <row r="93" spans="1:11" ht="15.75" customHeight="1" x14ac:dyDescent="0.25">
      <c r="A93" s="5"/>
      <c r="B93" s="5"/>
      <c r="C93" s="5"/>
      <c r="D93" s="5"/>
      <c r="E93" s="5"/>
      <c r="F93" s="5"/>
      <c r="G93" s="5"/>
      <c r="H93" s="5"/>
      <c r="I93" s="5"/>
      <c r="J93" s="5"/>
      <c r="K93" s="5"/>
    </row>
    <row r="94" spans="1:11" ht="15.75" customHeight="1" x14ac:dyDescent="0.25">
      <c r="A94" s="5"/>
      <c r="B94" s="5"/>
      <c r="C94" s="5"/>
      <c r="D94" s="5"/>
      <c r="E94" s="5"/>
      <c r="F94" s="5"/>
      <c r="G94" s="5"/>
      <c r="H94" s="5"/>
      <c r="I94" s="5"/>
      <c r="J94" s="5"/>
      <c r="K94" s="5"/>
    </row>
    <row r="95" spans="1:11" ht="15.75" customHeight="1" x14ac:dyDescent="0.25">
      <c r="A95" s="5"/>
      <c r="B95" s="5"/>
      <c r="C95" s="5"/>
      <c r="D95" s="5"/>
      <c r="E95" s="5"/>
      <c r="F95" s="5"/>
      <c r="G95" s="5"/>
      <c r="H95" s="5"/>
      <c r="I95" s="5"/>
      <c r="J95" s="5"/>
      <c r="K95" s="5"/>
    </row>
    <row r="96" spans="1:11" ht="15.75" customHeight="1" x14ac:dyDescent="0.25">
      <c r="A96" s="5"/>
      <c r="B96" s="5"/>
      <c r="C96" s="5"/>
      <c r="D96" s="5"/>
      <c r="E96" s="5"/>
      <c r="F96" s="5"/>
      <c r="G96" s="5"/>
      <c r="H96" s="5"/>
      <c r="I96" s="5"/>
      <c r="J96" s="5"/>
      <c r="K96" s="5"/>
    </row>
    <row r="97" spans="1:11" ht="15.75" customHeight="1" x14ac:dyDescent="0.25">
      <c r="A97" s="5"/>
      <c r="B97" s="5"/>
      <c r="C97" s="5"/>
      <c r="D97" s="5"/>
      <c r="E97" s="5"/>
      <c r="F97" s="5"/>
      <c r="G97" s="5"/>
      <c r="H97" s="5"/>
      <c r="I97" s="5"/>
      <c r="J97" s="5"/>
      <c r="K97" s="5"/>
    </row>
    <row r="98" spans="1:11" ht="15.75" customHeight="1" x14ac:dyDescent="0.25">
      <c r="A98" s="5"/>
      <c r="B98" s="5"/>
      <c r="C98" s="5"/>
      <c r="D98" s="5"/>
      <c r="E98" s="5"/>
      <c r="F98" s="5"/>
      <c r="G98" s="5"/>
      <c r="H98" s="5"/>
      <c r="I98" s="5"/>
      <c r="J98" s="5"/>
      <c r="K98" s="5"/>
    </row>
    <row r="99" spans="1:11" ht="15.75" customHeight="1" x14ac:dyDescent="0.25">
      <c r="A99" s="5"/>
      <c r="B99" s="5"/>
      <c r="C99" s="5"/>
      <c r="D99" s="5"/>
      <c r="E99" s="5"/>
      <c r="F99" s="5"/>
      <c r="G99" s="5"/>
      <c r="H99" s="5"/>
      <c r="I99" s="5"/>
      <c r="J99" s="5"/>
      <c r="K99" s="5"/>
    </row>
    <row r="100" spans="1:11" ht="15.75" customHeight="1" x14ac:dyDescent="0.25">
      <c r="A100" s="5"/>
      <c r="B100" s="5"/>
      <c r="C100" s="5"/>
      <c r="D100" s="5"/>
      <c r="E100" s="5"/>
      <c r="F100" s="5"/>
      <c r="G100" s="5"/>
      <c r="H100" s="5"/>
      <c r="I100" s="5"/>
      <c r="J100" s="5"/>
      <c r="K100" s="5"/>
    </row>
  </sheetData>
  <mergeCells count="3">
    <mergeCell ref="A5:F5"/>
    <mergeCell ref="A6:F6"/>
    <mergeCell ref="F11:F13"/>
  </mergeCells>
  <pageMargins left="0.7" right="0.7" top="0.75" bottom="0.75" header="0" footer="0"/>
  <pageSetup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CFFFF"/>
  </sheetPr>
  <dimension ref="A1:K100"/>
  <sheetViews>
    <sheetView topLeftCell="A4" workbookViewId="0">
      <selection activeCell="A10" sqref="A10:G20"/>
    </sheetView>
  </sheetViews>
  <sheetFormatPr defaultColWidth="14.42578125" defaultRowHeight="15" customHeight="1" x14ac:dyDescent="0.25"/>
  <cols>
    <col min="1" max="1" width="6.7109375" customWidth="1"/>
    <col min="2" max="2" width="44.42578125" customWidth="1"/>
    <col min="3" max="3" width="8.42578125" hidden="1" customWidth="1"/>
    <col min="4" max="4" width="6.28515625" hidden="1" customWidth="1"/>
    <col min="5" max="5" width="27.28515625" customWidth="1"/>
    <col min="6" max="6" width="14.28515625" customWidth="1"/>
    <col min="7" max="7" width="53.85546875" bestFit="1" customWidth="1"/>
    <col min="8" max="8" width="9" customWidth="1"/>
    <col min="9" max="11" width="8" customWidth="1"/>
  </cols>
  <sheetData>
    <row r="1" spans="1:11" ht="15.75" customHeight="1" x14ac:dyDescent="0.25">
      <c r="A1" s="1" t="str">
        <f>'3.Tổng hợp chi phí phần mềm'!A1</f>
        <v>VIỄN THÔNG KHÁNH HÒA</v>
      </c>
      <c r="B1" s="4"/>
      <c r="C1" s="4"/>
      <c r="D1" s="4"/>
      <c r="E1" s="4"/>
      <c r="F1" s="4"/>
      <c r="G1" s="5"/>
      <c r="H1" s="5"/>
      <c r="I1" s="5"/>
      <c r="J1" s="5"/>
      <c r="K1" s="5"/>
    </row>
    <row r="2" spans="1:11" ht="15.75" customHeight="1" x14ac:dyDescent="0.25">
      <c r="A2" s="1" t="str">
        <f>'3.Tổng hợp chi phí phần mềm'!A2</f>
        <v>TRUNG TÂM CÔNG NGHỆ THÔNG TIN</v>
      </c>
      <c r="B2" s="4"/>
      <c r="C2" s="4"/>
      <c r="D2" s="4"/>
      <c r="E2" s="4"/>
      <c r="F2" s="4"/>
      <c r="G2" s="5"/>
      <c r="H2" s="5"/>
      <c r="I2" s="5"/>
      <c r="J2" s="5"/>
      <c r="K2" s="5"/>
    </row>
    <row r="3" spans="1:11" ht="15.75" customHeight="1" x14ac:dyDescent="0.25">
      <c r="A3" s="5"/>
      <c r="B3" s="5"/>
      <c r="C3" s="5"/>
      <c r="D3" s="5"/>
      <c r="E3" s="5"/>
      <c r="F3" s="5"/>
      <c r="G3" s="5"/>
      <c r="H3" s="5"/>
      <c r="I3" s="5"/>
      <c r="J3" s="5"/>
      <c r="K3" s="5"/>
    </row>
    <row r="4" spans="1:11" ht="15.75" customHeight="1" x14ac:dyDescent="0.25">
      <c r="A4" s="5"/>
      <c r="B4" s="5"/>
      <c r="C4" s="5"/>
      <c r="D4" s="5"/>
      <c r="E4" s="5"/>
      <c r="F4" s="5"/>
      <c r="G4" s="5"/>
      <c r="H4" s="5"/>
      <c r="I4" s="5"/>
      <c r="J4" s="5"/>
      <c r="K4" s="5"/>
    </row>
    <row r="5" spans="1:11" ht="27" customHeight="1" x14ac:dyDescent="0.25">
      <c r="A5" s="280" t="s">
        <v>32</v>
      </c>
      <c r="B5" s="281"/>
      <c r="C5" s="281"/>
      <c r="D5" s="281"/>
      <c r="E5" s="281"/>
      <c r="F5" s="281"/>
      <c r="G5" s="281"/>
      <c r="H5" s="20"/>
      <c r="I5" s="20"/>
      <c r="J5" s="20"/>
      <c r="K5" s="20"/>
    </row>
    <row r="6" spans="1:11" ht="27" customHeight="1" x14ac:dyDescent="0.25">
      <c r="A6" s="282" t="str">
        <f>'3.Tổng hợp chi phí phần mềm'!A6:F6</f>
        <v>Phần mềm Hệ thống thông tin báo cáo - Sở Du lịch KHA</v>
      </c>
      <c r="B6" s="281"/>
      <c r="C6" s="281"/>
      <c r="D6" s="281"/>
      <c r="E6" s="281"/>
      <c r="F6" s="281"/>
      <c r="G6" s="281"/>
      <c r="H6" s="5"/>
      <c r="I6" s="5"/>
      <c r="J6" s="5"/>
      <c r="K6" s="5"/>
    </row>
    <row r="7" spans="1:11" ht="15.75" customHeight="1" x14ac:dyDescent="0.25">
      <c r="A7" s="5"/>
      <c r="B7" s="4"/>
      <c r="C7" s="4"/>
      <c r="D7" s="5"/>
      <c r="E7" s="5"/>
      <c r="F7" s="5"/>
      <c r="G7" s="5"/>
      <c r="H7" s="5"/>
      <c r="I7" s="5"/>
      <c r="J7" s="5"/>
      <c r="K7" s="5"/>
    </row>
    <row r="8" spans="1:11" ht="15.75" customHeight="1" x14ac:dyDescent="0.25">
      <c r="A8" s="21"/>
      <c r="B8" s="5"/>
      <c r="C8" s="5"/>
      <c r="D8" s="5"/>
      <c r="E8" s="5"/>
      <c r="F8" s="5"/>
      <c r="G8" s="5"/>
      <c r="H8" s="5"/>
      <c r="I8" s="5"/>
      <c r="J8" s="5"/>
      <c r="K8" s="5"/>
    </row>
    <row r="9" spans="1:11" ht="27" customHeight="1" x14ac:dyDescent="0.25">
      <c r="A9" s="8" t="s">
        <v>33</v>
      </c>
      <c r="B9" s="8" t="s">
        <v>34</v>
      </c>
      <c r="C9" s="8" t="s">
        <v>4</v>
      </c>
      <c r="D9" s="8" t="s">
        <v>35</v>
      </c>
      <c r="E9" s="22" t="s">
        <v>36</v>
      </c>
      <c r="F9" s="23" t="s">
        <v>18</v>
      </c>
      <c r="G9" s="8" t="s">
        <v>19</v>
      </c>
      <c r="H9" s="5"/>
      <c r="I9" s="5"/>
      <c r="J9" s="5"/>
      <c r="K9" s="5"/>
    </row>
    <row r="10" spans="1:11" ht="27" customHeight="1" x14ac:dyDescent="0.25">
      <c r="A10" s="24" t="s">
        <v>6</v>
      </c>
      <c r="B10" s="1" t="s">
        <v>37</v>
      </c>
      <c r="C10" s="25"/>
      <c r="D10" s="26"/>
      <c r="E10" s="27"/>
      <c r="F10" s="28"/>
      <c r="G10" s="29"/>
      <c r="H10" s="5"/>
      <c r="I10" s="5"/>
      <c r="J10" s="5"/>
      <c r="K10" s="5"/>
    </row>
    <row r="11" spans="1:11" ht="27" customHeight="1" x14ac:dyDescent="0.25">
      <c r="A11" s="26">
        <v>1</v>
      </c>
      <c r="B11" s="30" t="s">
        <v>38</v>
      </c>
      <c r="C11" s="26" t="s">
        <v>39</v>
      </c>
      <c r="D11" s="26" t="s">
        <v>40</v>
      </c>
      <c r="E11" s="27" t="s">
        <v>39</v>
      </c>
      <c r="F11" s="31">
        <f>'TAW.Điểm các tác nhân (actors)'!F12</f>
        <v>6</v>
      </c>
      <c r="G11" s="32" t="s">
        <v>41</v>
      </c>
      <c r="H11" s="5"/>
      <c r="I11" s="5"/>
      <c r="J11" s="5"/>
      <c r="K11" s="5"/>
    </row>
    <row r="12" spans="1:11" ht="27" customHeight="1" x14ac:dyDescent="0.25">
      <c r="A12" s="26">
        <v>2</v>
      </c>
      <c r="B12" s="30" t="s">
        <v>42</v>
      </c>
      <c r="C12" s="26" t="s">
        <v>43</v>
      </c>
      <c r="D12" s="26" t="s">
        <v>40</v>
      </c>
      <c r="E12" s="27" t="s">
        <v>43</v>
      </c>
      <c r="F12" s="31">
        <f>'TBF.Điểm USE-CASE'!F21</f>
        <v>260</v>
      </c>
      <c r="G12" s="32" t="s">
        <v>44</v>
      </c>
      <c r="H12" s="5"/>
      <c r="I12" s="5"/>
      <c r="J12" s="5"/>
      <c r="K12" s="5"/>
    </row>
    <row r="13" spans="1:11" ht="27" customHeight="1" x14ac:dyDescent="0.25">
      <c r="A13" s="26">
        <v>3</v>
      </c>
      <c r="B13" s="30" t="s">
        <v>45</v>
      </c>
      <c r="C13" s="26" t="s">
        <v>46</v>
      </c>
      <c r="D13" s="26" t="s">
        <v>40</v>
      </c>
      <c r="E13" s="27" t="s">
        <v>47</v>
      </c>
      <c r="F13" s="31">
        <f>F11+F12</f>
        <v>266</v>
      </c>
      <c r="G13" s="32"/>
      <c r="H13" s="5"/>
      <c r="I13" s="5"/>
      <c r="J13" s="5"/>
      <c r="K13" s="5"/>
    </row>
    <row r="14" spans="1:11" ht="27" customHeight="1" x14ac:dyDescent="0.25">
      <c r="A14" s="26">
        <v>4</v>
      </c>
      <c r="B14" s="30" t="s">
        <v>48</v>
      </c>
      <c r="C14" s="26" t="s">
        <v>49</v>
      </c>
      <c r="D14" s="26" t="s">
        <v>40</v>
      </c>
      <c r="E14" s="27" t="s">
        <v>50</v>
      </c>
      <c r="F14" s="31">
        <f>'TCF.Hệ số phức tạp KT-CN'!F23</f>
        <v>0.8899999999999999</v>
      </c>
      <c r="G14" s="32" t="s">
        <v>51</v>
      </c>
      <c r="H14" s="5"/>
      <c r="I14" s="5"/>
      <c r="J14" s="5"/>
      <c r="K14" s="5"/>
    </row>
    <row r="15" spans="1:11" ht="27" customHeight="1" x14ac:dyDescent="0.25">
      <c r="A15" s="26">
        <v>5</v>
      </c>
      <c r="B15" s="30" t="s">
        <v>52</v>
      </c>
      <c r="C15" s="26" t="s">
        <v>53</v>
      </c>
      <c r="D15" s="26" t="s">
        <v>40</v>
      </c>
      <c r="E15" s="27" t="s">
        <v>54</v>
      </c>
      <c r="F15" s="31">
        <f>1.4-0.03*'EFW.Hệ số tác động môi trường'!F9</f>
        <v>0.125</v>
      </c>
      <c r="G15" s="32" t="s">
        <v>55</v>
      </c>
      <c r="H15" s="5"/>
      <c r="I15" s="5"/>
      <c r="J15" s="5"/>
      <c r="K15" s="5"/>
    </row>
    <row r="16" spans="1:11" ht="27" customHeight="1" x14ac:dyDescent="0.25">
      <c r="A16" s="26">
        <v>6</v>
      </c>
      <c r="B16" s="30" t="s">
        <v>56</v>
      </c>
      <c r="C16" s="26" t="s">
        <v>57</v>
      </c>
      <c r="D16" s="26" t="s">
        <v>40</v>
      </c>
      <c r="E16" s="27" t="s">
        <v>58</v>
      </c>
      <c r="F16" s="31">
        <f>F13*F14*F15</f>
        <v>29.592499999999998</v>
      </c>
      <c r="G16" s="32"/>
      <c r="H16" s="5"/>
      <c r="I16" s="5"/>
      <c r="J16" s="5"/>
      <c r="K16" s="5"/>
    </row>
    <row r="17" spans="1:11" ht="27" customHeight="1" x14ac:dyDescent="0.25">
      <c r="A17" s="24" t="s">
        <v>7</v>
      </c>
      <c r="B17" s="33" t="s">
        <v>59</v>
      </c>
      <c r="C17" s="34" t="s">
        <v>60</v>
      </c>
      <c r="D17" s="26"/>
      <c r="E17" s="27" t="s">
        <v>61</v>
      </c>
      <c r="F17" s="31">
        <f>'EFW.Hệ số tác động môi trường'!H21</f>
        <v>32</v>
      </c>
      <c r="G17" s="32" t="s">
        <v>62</v>
      </c>
      <c r="H17" s="5"/>
      <c r="I17" s="5"/>
      <c r="J17" s="5"/>
      <c r="K17" s="5"/>
    </row>
    <row r="18" spans="1:11" ht="27" customHeight="1" x14ac:dyDescent="0.25">
      <c r="A18" s="24" t="s">
        <v>9</v>
      </c>
      <c r="B18" s="33" t="s">
        <v>63</v>
      </c>
      <c r="C18" s="34" t="s">
        <v>64</v>
      </c>
      <c r="D18" s="26"/>
      <c r="E18" s="27" t="s">
        <v>65</v>
      </c>
      <c r="F18" s="31">
        <f>F16*10/6</f>
        <v>49.320833333333326</v>
      </c>
      <c r="G18" s="29"/>
      <c r="H18" s="5"/>
      <c r="I18" s="5"/>
      <c r="J18" s="5"/>
      <c r="K18" s="5"/>
    </row>
    <row r="19" spans="1:11" ht="27" customHeight="1" x14ac:dyDescent="0.25">
      <c r="A19" s="24" t="s">
        <v>11</v>
      </c>
      <c r="B19" s="33" t="s">
        <v>66</v>
      </c>
      <c r="C19" s="34" t="s">
        <v>67</v>
      </c>
      <c r="D19" s="26" t="s">
        <v>68</v>
      </c>
      <c r="E19" s="27" t="s">
        <v>69</v>
      </c>
      <c r="F19" s="31">
        <f>'Bảng lương nhân công'!G11</f>
        <v>48577.306818181831</v>
      </c>
      <c r="G19" s="29" t="s">
        <v>320</v>
      </c>
      <c r="H19" s="14"/>
      <c r="I19" s="5"/>
      <c r="J19" s="5"/>
      <c r="K19" s="5"/>
    </row>
    <row r="20" spans="1:11" ht="27" customHeight="1" x14ac:dyDescent="0.25">
      <c r="A20" s="35" t="s">
        <v>70</v>
      </c>
      <c r="B20" s="36" t="s">
        <v>71</v>
      </c>
      <c r="C20" s="37" t="s">
        <v>21</v>
      </c>
      <c r="D20" s="15" t="s">
        <v>72</v>
      </c>
      <c r="E20" s="38" t="s">
        <v>73</v>
      </c>
      <c r="F20" s="17">
        <f>1.4*F18*F17*F19</f>
        <v>107335121.75060606</v>
      </c>
      <c r="G20" s="16"/>
      <c r="H20" s="5"/>
      <c r="I20" s="5"/>
      <c r="J20" s="5"/>
      <c r="K20" s="5"/>
    </row>
    <row r="21" spans="1:11" ht="15.75" customHeight="1" x14ac:dyDescent="0.25">
      <c r="A21" s="39"/>
      <c r="B21" s="5"/>
      <c r="C21" s="5"/>
      <c r="D21" s="5"/>
      <c r="E21" s="5"/>
      <c r="F21" s="5"/>
      <c r="G21" s="5"/>
      <c r="H21" s="5"/>
      <c r="I21" s="5"/>
      <c r="J21" s="5"/>
      <c r="K21" s="5"/>
    </row>
    <row r="22" spans="1:11" ht="15.75" customHeight="1" x14ac:dyDescent="0.25">
      <c r="A22" s="5"/>
      <c r="B22" s="5"/>
      <c r="C22" s="5"/>
      <c r="D22" s="5"/>
      <c r="E22" s="5"/>
      <c r="F22" s="18"/>
      <c r="G22" s="5"/>
      <c r="H22" s="5"/>
      <c r="I22" s="5"/>
      <c r="J22" s="5"/>
      <c r="K22" s="5"/>
    </row>
    <row r="23" spans="1:11" ht="15.75" customHeight="1" x14ac:dyDescent="0.25">
      <c r="A23" s="5"/>
      <c r="B23" s="5"/>
      <c r="C23" s="5"/>
      <c r="D23" s="5"/>
      <c r="E23" s="5"/>
      <c r="F23" s="18"/>
      <c r="G23" s="5"/>
      <c r="H23" s="5"/>
      <c r="I23" s="5"/>
      <c r="J23" s="5"/>
      <c r="K23" s="5"/>
    </row>
    <row r="24" spans="1:11" ht="15.75" customHeight="1" x14ac:dyDescent="0.25">
      <c r="A24" s="5"/>
      <c r="B24" s="5"/>
      <c r="C24" s="5"/>
      <c r="D24" s="5"/>
      <c r="E24" s="5"/>
      <c r="F24" s="5"/>
      <c r="G24" s="5"/>
      <c r="H24" s="5"/>
      <c r="I24" s="5"/>
      <c r="J24" s="5"/>
      <c r="K24" s="5"/>
    </row>
    <row r="25" spans="1:11" ht="15.75" customHeight="1" x14ac:dyDescent="0.25">
      <c r="A25" s="5"/>
      <c r="B25" s="5"/>
      <c r="C25" s="5"/>
      <c r="D25" s="5"/>
      <c r="E25" s="5"/>
      <c r="F25" s="5"/>
      <c r="G25" s="5"/>
      <c r="H25" s="5"/>
      <c r="I25" s="5"/>
      <c r="J25" s="5"/>
      <c r="K25" s="5"/>
    </row>
    <row r="26" spans="1:11" ht="15.75" customHeight="1" x14ac:dyDescent="0.25">
      <c r="A26" s="5"/>
      <c r="B26" s="5"/>
      <c r="C26" s="5"/>
      <c r="D26" s="5"/>
      <c r="E26" s="5"/>
      <c r="F26" s="5"/>
      <c r="G26" s="5"/>
      <c r="H26" s="5"/>
      <c r="I26" s="5"/>
      <c r="J26" s="5"/>
      <c r="K26" s="5"/>
    </row>
    <row r="27" spans="1:11" ht="15.75" customHeight="1" x14ac:dyDescent="0.25">
      <c r="A27" s="5"/>
      <c r="B27" s="5"/>
      <c r="C27" s="5"/>
      <c r="D27" s="5"/>
      <c r="E27" s="5"/>
      <c r="F27" s="5"/>
      <c r="G27" s="5"/>
      <c r="H27" s="5"/>
      <c r="I27" s="5"/>
      <c r="J27" s="5"/>
      <c r="K27" s="5"/>
    </row>
    <row r="28" spans="1:11" ht="15.75" customHeight="1" x14ac:dyDescent="0.25">
      <c r="A28" s="5"/>
      <c r="B28" s="5"/>
      <c r="C28" s="5"/>
      <c r="D28" s="5"/>
      <c r="E28" s="5"/>
      <c r="F28" s="5"/>
      <c r="G28" s="5"/>
      <c r="H28" s="5"/>
      <c r="I28" s="5"/>
      <c r="J28" s="5"/>
      <c r="K28" s="5"/>
    </row>
    <row r="29" spans="1:11" ht="15.75" customHeight="1" x14ac:dyDescent="0.25">
      <c r="A29" s="5"/>
      <c r="B29" s="5"/>
      <c r="C29" s="5"/>
      <c r="D29" s="5"/>
      <c r="E29" s="5"/>
      <c r="F29" s="5"/>
      <c r="G29" s="5"/>
      <c r="H29" s="5"/>
      <c r="I29" s="5"/>
      <c r="J29" s="5"/>
      <c r="K29" s="5"/>
    </row>
    <row r="30" spans="1:11" ht="15.75" customHeight="1" x14ac:dyDescent="0.25">
      <c r="A30" s="5"/>
      <c r="B30" s="5"/>
      <c r="C30" s="5"/>
      <c r="D30" s="5"/>
      <c r="E30" s="5"/>
      <c r="F30" s="5"/>
      <c r="G30" s="5"/>
      <c r="H30" s="5"/>
      <c r="I30" s="5"/>
      <c r="J30" s="5"/>
      <c r="K30" s="5"/>
    </row>
    <row r="31" spans="1:11" ht="15.75" customHeight="1" x14ac:dyDescent="0.25">
      <c r="A31" s="5"/>
      <c r="B31" s="5"/>
      <c r="C31" s="5"/>
      <c r="D31" s="5"/>
      <c r="E31" s="5"/>
      <c r="F31" s="5"/>
      <c r="G31" s="5"/>
      <c r="H31" s="5"/>
      <c r="I31" s="5"/>
      <c r="J31" s="5"/>
      <c r="K31" s="5"/>
    </row>
    <row r="32" spans="1:11" ht="15.75" customHeight="1" x14ac:dyDescent="0.25">
      <c r="A32" s="5"/>
      <c r="B32" s="5"/>
      <c r="C32" s="5"/>
      <c r="D32" s="5"/>
      <c r="E32" s="5"/>
      <c r="F32" s="5"/>
      <c r="G32" s="5"/>
      <c r="H32" s="5"/>
      <c r="I32" s="5"/>
      <c r="J32" s="5"/>
      <c r="K32" s="5"/>
    </row>
    <row r="33" spans="1:11" ht="15.75" customHeight="1" x14ac:dyDescent="0.25">
      <c r="A33" s="5"/>
      <c r="B33" s="5"/>
      <c r="C33" s="5"/>
      <c r="D33" s="5"/>
      <c r="E33" s="5"/>
      <c r="F33" s="5"/>
      <c r="G33" s="5"/>
      <c r="H33" s="5"/>
      <c r="I33" s="5"/>
      <c r="J33" s="5"/>
      <c r="K33" s="5"/>
    </row>
    <row r="34" spans="1:11" ht="15.75" customHeight="1" x14ac:dyDescent="0.25">
      <c r="A34" s="5"/>
      <c r="B34" s="5"/>
      <c r="C34" s="5"/>
      <c r="D34" s="5"/>
      <c r="E34" s="5"/>
      <c r="F34" s="5"/>
      <c r="G34" s="5"/>
      <c r="H34" s="5"/>
      <c r="I34" s="5"/>
      <c r="J34" s="5"/>
      <c r="K34" s="5"/>
    </row>
    <row r="35" spans="1:11" ht="15.75" customHeight="1" x14ac:dyDescent="0.25">
      <c r="A35" s="5"/>
      <c r="B35" s="5"/>
      <c r="C35" s="5"/>
      <c r="D35" s="5"/>
      <c r="E35" s="5"/>
      <c r="F35" s="5"/>
      <c r="G35" s="5"/>
      <c r="H35" s="5"/>
      <c r="I35" s="5"/>
      <c r="J35" s="5"/>
      <c r="K35" s="5"/>
    </row>
    <row r="36" spans="1:11" ht="15.75" customHeight="1" x14ac:dyDescent="0.25">
      <c r="A36" s="5"/>
      <c r="B36" s="5"/>
      <c r="C36" s="5"/>
      <c r="D36" s="5"/>
      <c r="E36" s="5"/>
      <c r="F36" s="5"/>
      <c r="G36" s="5"/>
      <c r="H36" s="5"/>
      <c r="I36" s="5"/>
      <c r="J36" s="5"/>
      <c r="K36" s="5"/>
    </row>
    <row r="37" spans="1:11" ht="15.75" customHeight="1" x14ac:dyDescent="0.25">
      <c r="A37" s="5"/>
      <c r="B37" s="5"/>
      <c r="C37" s="5"/>
      <c r="D37" s="5"/>
      <c r="E37" s="5"/>
      <c r="F37" s="5"/>
      <c r="G37" s="5"/>
      <c r="H37" s="5"/>
      <c r="I37" s="5"/>
      <c r="J37" s="5"/>
      <c r="K37" s="5"/>
    </row>
    <row r="38" spans="1:11" ht="15.75" customHeight="1" x14ac:dyDescent="0.25">
      <c r="A38" s="5"/>
      <c r="B38" s="5"/>
      <c r="C38" s="5"/>
      <c r="D38" s="5"/>
      <c r="E38" s="5"/>
      <c r="F38" s="5"/>
      <c r="G38" s="5"/>
      <c r="H38" s="5"/>
      <c r="I38" s="5"/>
      <c r="J38" s="5"/>
      <c r="K38" s="5"/>
    </row>
    <row r="39" spans="1:11" ht="15.75" customHeight="1" x14ac:dyDescent="0.25">
      <c r="A39" s="5"/>
      <c r="B39" s="5"/>
      <c r="C39" s="5"/>
      <c r="D39" s="5"/>
      <c r="E39" s="5"/>
      <c r="F39" s="5"/>
      <c r="G39" s="5"/>
      <c r="H39" s="5"/>
      <c r="I39" s="5"/>
      <c r="J39" s="5"/>
      <c r="K39" s="5"/>
    </row>
    <row r="40" spans="1:11" ht="15.75" customHeight="1" x14ac:dyDescent="0.25">
      <c r="A40" s="5"/>
      <c r="B40" s="5"/>
      <c r="C40" s="5"/>
      <c r="D40" s="5"/>
      <c r="E40" s="5"/>
      <c r="F40" s="5"/>
      <c r="G40" s="5"/>
      <c r="H40" s="5"/>
      <c r="I40" s="5"/>
      <c r="J40" s="5"/>
      <c r="K40" s="5"/>
    </row>
    <row r="41" spans="1:11" ht="15.75" customHeight="1" x14ac:dyDescent="0.25">
      <c r="A41" s="5"/>
      <c r="B41" s="5"/>
      <c r="C41" s="5"/>
      <c r="D41" s="5"/>
      <c r="E41" s="5"/>
      <c r="F41" s="5"/>
      <c r="G41" s="5"/>
      <c r="H41" s="5"/>
      <c r="I41" s="5"/>
      <c r="J41" s="5"/>
      <c r="K41" s="5"/>
    </row>
    <row r="42" spans="1:11" ht="15.75" customHeight="1" x14ac:dyDescent="0.25">
      <c r="A42" s="5"/>
      <c r="B42" s="5"/>
      <c r="C42" s="5"/>
      <c r="D42" s="5"/>
      <c r="E42" s="5"/>
      <c r="F42" s="5"/>
      <c r="G42" s="5"/>
      <c r="H42" s="5"/>
      <c r="I42" s="5"/>
      <c r="J42" s="5"/>
      <c r="K42" s="5"/>
    </row>
    <row r="43" spans="1:11" ht="15.75" customHeight="1" x14ac:dyDescent="0.25">
      <c r="A43" s="5"/>
      <c r="B43" s="5"/>
      <c r="C43" s="5"/>
      <c r="D43" s="5"/>
      <c r="E43" s="5"/>
      <c r="F43" s="5"/>
      <c r="G43" s="5"/>
      <c r="H43" s="5"/>
      <c r="I43" s="5"/>
      <c r="J43" s="5"/>
      <c r="K43" s="5"/>
    </row>
    <row r="44" spans="1:11" ht="15.75" customHeight="1" x14ac:dyDescent="0.25">
      <c r="A44" s="5"/>
      <c r="B44" s="5"/>
      <c r="C44" s="5"/>
      <c r="D44" s="5"/>
      <c r="E44" s="5"/>
      <c r="F44" s="5"/>
      <c r="G44" s="5"/>
      <c r="H44" s="5"/>
      <c r="I44" s="5"/>
      <c r="J44" s="5"/>
      <c r="K44" s="5"/>
    </row>
    <row r="45" spans="1:11" ht="15.75" customHeight="1" x14ac:dyDescent="0.25">
      <c r="A45" s="5"/>
      <c r="B45" s="5"/>
      <c r="C45" s="5"/>
      <c r="D45" s="5"/>
      <c r="E45" s="5"/>
      <c r="F45" s="5"/>
      <c r="G45" s="5"/>
      <c r="H45" s="5"/>
      <c r="I45" s="5"/>
      <c r="J45" s="5"/>
      <c r="K45" s="5"/>
    </row>
    <row r="46" spans="1:11" ht="15.75" customHeight="1" x14ac:dyDescent="0.25">
      <c r="A46" s="5"/>
      <c r="B46" s="5"/>
      <c r="C46" s="5"/>
      <c r="D46" s="5"/>
      <c r="E46" s="5"/>
      <c r="F46" s="5"/>
      <c r="G46" s="5"/>
      <c r="H46" s="5"/>
      <c r="I46" s="5"/>
      <c r="J46" s="5"/>
      <c r="K46" s="5"/>
    </row>
    <row r="47" spans="1:11" ht="15.75" customHeight="1" x14ac:dyDescent="0.25">
      <c r="A47" s="5"/>
      <c r="B47" s="5"/>
      <c r="C47" s="5"/>
      <c r="D47" s="5"/>
      <c r="E47" s="5"/>
      <c r="F47" s="5"/>
      <c r="G47" s="5"/>
      <c r="H47" s="5"/>
      <c r="I47" s="5"/>
      <c r="J47" s="5"/>
      <c r="K47" s="5"/>
    </row>
    <row r="48" spans="1:11" ht="15.75" customHeight="1" x14ac:dyDescent="0.25">
      <c r="A48" s="5"/>
      <c r="B48" s="5"/>
      <c r="C48" s="5"/>
      <c r="D48" s="5"/>
      <c r="E48" s="5"/>
      <c r="F48" s="5"/>
      <c r="G48" s="5"/>
      <c r="H48" s="5"/>
      <c r="I48" s="5"/>
      <c r="J48" s="5"/>
      <c r="K48" s="5"/>
    </row>
    <row r="49" spans="1:11" ht="15.75" customHeight="1" x14ac:dyDescent="0.25">
      <c r="A49" s="5"/>
      <c r="B49" s="5"/>
      <c r="C49" s="5"/>
      <c r="D49" s="5"/>
      <c r="E49" s="5"/>
      <c r="F49" s="5"/>
      <c r="G49" s="5"/>
      <c r="H49" s="5"/>
      <c r="I49" s="5"/>
      <c r="J49" s="5"/>
      <c r="K49" s="5"/>
    </row>
    <row r="50" spans="1:11" ht="15.75" customHeight="1" x14ac:dyDescent="0.25">
      <c r="A50" s="5"/>
      <c r="B50" s="5"/>
      <c r="C50" s="5"/>
      <c r="D50" s="5"/>
      <c r="E50" s="5"/>
      <c r="F50" s="5"/>
      <c r="G50" s="5"/>
      <c r="H50" s="5"/>
      <c r="I50" s="5"/>
      <c r="J50" s="5"/>
      <c r="K50" s="5"/>
    </row>
    <row r="51" spans="1:11" ht="15.75" customHeight="1" x14ac:dyDescent="0.25">
      <c r="A51" s="5"/>
      <c r="B51" s="5"/>
      <c r="C51" s="5"/>
      <c r="D51" s="5"/>
      <c r="E51" s="5"/>
      <c r="F51" s="5"/>
      <c r="G51" s="5"/>
      <c r="H51" s="5"/>
      <c r="I51" s="5"/>
      <c r="J51" s="5"/>
      <c r="K51" s="5"/>
    </row>
    <row r="52" spans="1:11" ht="15.75" customHeight="1" x14ac:dyDescent="0.25">
      <c r="A52" s="5"/>
      <c r="B52" s="5"/>
      <c r="C52" s="5"/>
      <c r="D52" s="5"/>
      <c r="E52" s="5"/>
      <c r="F52" s="5"/>
      <c r="G52" s="5"/>
      <c r="H52" s="5"/>
      <c r="I52" s="5"/>
      <c r="J52" s="5"/>
      <c r="K52" s="5"/>
    </row>
    <row r="53" spans="1:11" ht="15.75" customHeight="1" x14ac:dyDescent="0.25">
      <c r="A53" s="5"/>
      <c r="B53" s="5"/>
      <c r="C53" s="5"/>
      <c r="D53" s="5"/>
      <c r="E53" s="5"/>
      <c r="F53" s="5"/>
      <c r="G53" s="5"/>
      <c r="H53" s="5"/>
      <c r="I53" s="5"/>
      <c r="J53" s="5"/>
      <c r="K53" s="5"/>
    </row>
    <row r="54" spans="1:11" ht="15.75" customHeight="1" x14ac:dyDescent="0.25">
      <c r="A54" s="5"/>
      <c r="B54" s="5"/>
      <c r="C54" s="5"/>
      <c r="D54" s="5"/>
      <c r="E54" s="5"/>
      <c r="F54" s="5"/>
      <c r="G54" s="5"/>
      <c r="H54" s="5"/>
      <c r="I54" s="5"/>
      <c r="J54" s="5"/>
      <c r="K54" s="5"/>
    </row>
    <row r="55" spans="1:11" ht="15.75" customHeight="1" x14ac:dyDescent="0.25">
      <c r="A55" s="5"/>
      <c r="B55" s="5"/>
      <c r="C55" s="5"/>
      <c r="D55" s="5"/>
      <c r="E55" s="5"/>
      <c r="F55" s="5"/>
      <c r="G55" s="5"/>
      <c r="H55" s="5"/>
      <c r="I55" s="5"/>
      <c r="J55" s="5"/>
      <c r="K55" s="5"/>
    </row>
    <row r="56" spans="1:11" ht="15.75" customHeight="1" x14ac:dyDescent="0.25">
      <c r="A56" s="5"/>
      <c r="B56" s="5"/>
      <c r="C56" s="5"/>
      <c r="D56" s="5"/>
      <c r="E56" s="5"/>
      <c r="F56" s="5"/>
      <c r="G56" s="5"/>
      <c r="H56" s="5"/>
      <c r="I56" s="5"/>
      <c r="J56" s="5"/>
      <c r="K56" s="5"/>
    </row>
    <row r="57" spans="1:11" ht="15.75" customHeight="1" x14ac:dyDescent="0.25">
      <c r="A57" s="5"/>
      <c r="B57" s="5"/>
      <c r="C57" s="5"/>
      <c r="D57" s="5"/>
      <c r="E57" s="5"/>
      <c r="F57" s="5"/>
      <c r="G57" s="5"/>
      <c r="H57" s="5"/>
      <c r="I57" s="5"/>
      <c r="J57" s="5"/>
      <c r="K57" s="5"/>
    </row>
    <row r="58" spans="1:11" ht="15.75" customHeight="1" x14ac:dyDescent="0.25">
      <c r="A58" s="5"/>
      <c r="B58" s="5"/>
      <c r="C58" s="5"/>
      <c r="D58" s="5"/>
      <c r="E58" s="5"/>
      <c r="F58" s="5"/>
      <c r="G58" s="5"/>
      <c r="H58" s="5"/>
      <c r="I58" s="5"/>
      <c r="J58" s="5"/>
      <c r="K58" s="5"/>
    </row>
    <row r="59" spans="1:11" ht="15.75" customHeight="1" x14ac:dyDescent="0.25">
      <c r="A59" s="5"/>
      <c r="B59" s="5"/>
      <c r="C59" s="5"/>
      <c r="D59" s="5"/>
      <c r="E59" s="5"/>
      <c r="F59" s="5"/>
      <c r="G59" s="5"/>
      <c r="H59" s="5"/>
      <c r="I59" s="5"/>
      <c r="J59" s="5"/>
      <c r="K59" s="5"/>
    </row>
    <row r="60" spans="1:11" ht="15.75" customHeight="1" x14ac:dyDescent="0.25">
      <c r="A60" s="5"/>
      <c r="B60" s="5"/>
      <c r="C60" s="5"/>
      <c r="D60" s="5"/>
      <c r="E60" s="5"/>
      <c r="F60" s="5"/>
      <c r="G60" s="5"/>
      <c r="H60" s="5"/>
      <c r="I60" s="5"/>
      <c r="J60" s="5"/>
      <c r="K60" s="5"/>
    </row>
    <row r="61" spans="1:11" ht="15.75" customHeight="1" x14ac:dyDescent="0.25">
      <c r="A61" s="5"/>
      <c r="B61" s="5"/>
      <c r="C61" s="5"/>
      <c r="D61" s="5"/>
      <c r="E61" s="5"/>
      <c r="F61" s="5"/>
      <c r="G61" s="5"/>
      <c r="H61" s="5"/>
      <c r="I61" s="5"/>
      <c r="J61" s="5"/>
      <c r="K61" s="5"/>
    </row>
    <row r="62" spans="1:11" ht="15.75" customHeight="1" x14ac:dyDescent="0.25">
      <c r="A62" s="5"/>
      <c r="B62" s="5"/>
      <c r="C62" s="5"/>
      <c r="D62" s="5"/>
      <c r="E62" s="5"/>
      <c r="F62" s="5"/>
      <c r="G62" s="5"/>
      <c r="H62" s="5"/>
      <c r="I62" s="5"/>
      <c r="J62" s="5"/>
      <c r="K62" s="5"/>
    </row>
    <row r="63" spans="1:11" ht="15.75" customHeight="1" x14ac:dyDescent="0.25">
      <c r="A63" s="5"/>
      <c r="B63" s="5"/>
      <c r="C63" s="5"/>
      <c r="D63" s="5"/>
      <c r="E63" s="5"/>
      <c r="F63" s="5"/>
      <c r="G63" s="5"/>
      <c r="H63" s="5"/>
      <c r="I63" s="5"/>
      <c r="J63" s="5"/>
      <c r="K63" s="5"/>
    </row>
    <row r="64" spans="1:11" ht="15.75" customHeight="1" x14ac:dyDescent="0.25">
      <c r="A64" s="5"/>
      <c r="B64" s="5"/>
      <c r="C64" s="5"/>
      <c r="D64" s="5"/>
      <c r="E64" s="5"/>
      <c r="F64" s="5"/>
      <c r="G64" s="5"/>
      <c r="H64" s="5"/>
      <c r="I64" s="5"/>
      <c r="J64" s="5"/>
      <c r="K64" s="5"/>
    </row>
    <row r="65" spans="1:11" ht="15.75" customHeight="1" x14ac:dyDescent="0.25">
      <c r="A65" s="5"/>
      <c r="B65" s="5"/>
      <c r="C65" s="5"/>
      <c r="D65" s="5"/>
      <c r="E65" s="5"/>
      <c r="F65" s="5"/>
      <c r="G65" s="5"/>
      <c r="H65" s="5"/>
      <c r="I65" s="5"/>
      <c r="J65" s="5"/>
      <c r="K65" s="5"/>
    </row>
    <row r="66" spans="1:11" ht="15.75" customHeight="1" x14ac:dyDescent="0.25">
      <c r="A66" s="5"/>
      <c r="B66" s="5"/>
      <c r="C66" s="5"/>
      <c r="D66" s="5"/>
      <c r="E66" s="5"/>
      <c r="F66" s="5"/>
      <c r="G66" s="5"/>
      <c r="H66" s="5"/>
      <c r="I66" s="5"/>
      <c r="J66" s="5"/>
      <c r="K66" s="5"/>
    </row>
    <row r="67" spans="1:11" ht="15.75" customHeight="1" x14ac:dyDescent="0.25">
      <c r="A67" s="5"/>
      <c r="B67" s="5"/>
      <c r="C67" s="5"/>
      <c r="D67" s="5"/>
      <c r="E67" s="5"/>
      <c r="F67" s="5"/>
      <c r="G67" s="5"/>
      <c r="H67" s="5"/>
      <c r="I67" s="5"/>
      <c r="J67" s="5"/>
      <c r="K67" s="5"/>
    </row>
    <row r="68" spans="1:11" ht="15.75" customHeight="1" x14ac:dyDescent="0.25">
      <c r="A68" s="5"/>
      <c r="B68" s="5"/>
      <c r="C68" s="5"/>
      <c r="D68" s="5"/>
      <c r="E68" s="5"/>
      <c r="F68" s="5"/>
      <c r="G68" s="5"/>
      <c r="H68" s="5"/>
      <c r="I68" s="5"/>
      <c r="J68" s="5"/>
      <c r="K68" s="5"/>
    </row>
    <row r="69" spans="1:11" ht="15.75" customHeight="1" x14ac:dyDescent="0.25">
      <c r="A69" s="5"/>
      <c r="B69" s="5"/>
      <c r="C69" s="5"/>
      <c r="D69" s="5"/>
      <c r="E69" s="5"/>
      <c r="F69" s="5"/>
      <c r="G69" s="5"/>
      <c r="H69" s="5"/>
      <c r="I69" s="5"/>
      <c r="J69" s="5"/>
      <c r="K69" s="5"/>
    </row>
    <row r="70" spans="1:11" ht="15.75" customHeight="1" x14ac:dyDescent="0.25">
      <c r="A70" s="5"/>
      <c r="B70" s="5"/>
      <c r="C70" s="5"/>
      <c r="D70" s="5"/>
      <c r="E70" s="5"/>
      <c r="F70" s="5"/>
      <c r="G70" s="5"/>
      <c r="H70" s="5"/>
      <c r="I70" s="5"/>
      <c r="J70" s="5"/>
      <c r="K70" s="5"/>
    </row>
    <row r="71" spans="1:11" ht="15.75" customHeight="1" x14ac:dyDescent="0.25">
      <c r="A71" s="5"/>
      <c r="B71" s="5"/>
      <c r="C71" s="5"/>
      <c r="D71" s="5"/>
      <c r="E71" s="5"/>
      <c r="F71" s="5"/>
      <c r="G71" s="5"/>
      <c r="H71" s="5"/>
      <c r="I71" s="5"/>
      <c r="J71" s="5"/>
      <c r="K71" s="5"/>
    </row>
    <row r="72" spans="1:11" ht="15.75" customHeight="1" x14ac:dyDescent="0.25">
      <c r="A72" s="5"/>
      <c r="B72" s="5"/>
      <c r="C72" s="5"/>
      <c r="D72" s="5"/>
      <c r="E72" s="5"/>
      <c r="F72" s="5"/>
      <c r="G72" s="5"/>
      <c r="H72" s="5"/>
      <c r="I72" s="5"/>
      <c r="J72" s="5"/>
      <c r="K72" s="5"/>
    </row>
    <row r="73" spans="1:11" ht="15.75" customHeight="1" x14ac:dyDescent="0.25">
      <c r="A73" s="5"/>
      <c r="B73" s="5"/>
      <c r="C73" s="5"/>
      <c r="D73" s="5"/>
      <c r="E73" s="5"/>
      <c r="F73" s="5"/>
      <c r="G73" s="5"/>
      <c r="H73" s="5"/>
      <c r="I73" s="5"/>
      <c r="J73" s="5"/>
      <c r="K73" s="5"/>
    </row>
    <row r="74" spans="1:11" ht="15.75" customHeight="1" x14ac:dyDescent="0.25">
      <c r="A74" s="5"/>
      <c r="B74" s="5"/>
      <c r="C74" s="5"/>
      <c r="D74" s="5"/>
      <c r="E74" s="5"/>
      <c r="F74" s="5"/>
      <c r="G74" s="5"/>
      <c r="H74" s="5"/>
      <c r="I74" s="5"/>
      <c r="J74" s="5"/>
      <c r="K74" s="5"/>
    </row>
    <row r="75" spans="1:11" ht="15.75" customHeight="1" x14ac:dyDescent="0.25">
      <c r="A75" s="5"/>
      <c r="B75" s="5"/>
      <c r="C75" s="5"/>
      <c r="D75" s="5"/>
      <c r="E75" s="5"/>
      <c r="F75" s="5"/>
      <c r="G75" s="5"/>
      <c r="H75" s="5"/>
      <c r="I75" s="5"/>
      <c r="J75" s="5"/>
      <c r="K75" s="5"/>
    </row>
    <row r="76" spans="1:11" ht="15.75" customHeight="1" x14ac:dyDescent="0.25">
      <c r="A76" s="5"/>
      <c r="B76" s="5"/>
      <c r="C76" s="5"/>
      <c r="D76" s="5"/>
      <c r="E76" s="5"/>
      <c r="F76" s="5"/>
      <c r="G76" s="5"/>
      <c r="H76" s="5"/>
      <c r="I76" s="5"/>
      <c r="J76" s="5"/>
      <c r="K76" s="5"/>
    </row>
    <row r="77" spans="1:11" ht="15.75" customHeight="1" x14ac:dyDescent="0.25">
      <c r="A77" s="5"/>
      <c r="B77" s="5"/>
      <c r="C77" s="5"/>
      <c r="D77" s="5"/>
      <c r="E77" s="5"/>
      <c r="F77" s="5"/>
      <c r="G77" s="5"/>
      <c r="H77" s="5"/>
      <c r="I77" s="5"/>
      <c r="J77" s="5"/>
      <c r="K77" s="5"/>
    </row>
    <row r="78" spans="1:11" ht="15.75" customHeight="1" x14ac:dyDescent="0.25">
      <c r="A78" s="5"/>
      <c r="B78" s="5"/>
      <c r="C78" s="5"/>
      <c r="D78" s="5"/>
      <c r="E78" s="5"/>
      <c r="F78" s="5"/>
      <c r="G78" s="5"/>
      <c r="H78" s="5"/>
      <c r="I78" s="5"/>
      <c r="J78" s="5"/>
      <c r="K78" s="5"/>
    </row>
    <row r="79" spans="1:11" ht="15.75" customHeight="1" x14ac:dyDescent="0.25">
      <c r="A79" s="5"/>
      <c r="B79" s="5"/>
      <c r="C79" s="5"/>
      <c r="D79" s="5"/>
      <c r="E79" s="5"/>
      <c r="F79" s="5"/>
      <c r="G79" s="5"/>
      <c r="H79" s="5"/>
      <c r="I79" s="5"/>
      <c r="J79" s="5"/>
      <c r="K79" s="5"/>
    </row>
    <row r="80" spans="1:11" ht="15.75" customHeight="1" x14ac:dyDescent="0.25">
      <c r="A80" s="5"/>
      <c r="B80" s="5"/>
      <c r="C80" s="5"/>
      <c r="D80" s="5"/>
      <c r="E80" s="5"/>
      <c r="F80" s="5"/>
      <c r="G80" s="5"/>
      <c r="H80" s="5"/>
      <c r="I80" s="5"/>
      <c r="J80" s="5"/>
      <c r="K80" s="5"/>
    </row>
    <row r="81" spans="1:11" ht="15.75" customHeight="1" x14ac:dyDescent="0.25">
      <c r="A81" s="5"/>
      <c r="B81" s="5"/>
      <c r="C81" s="5"/>
      <c r="D81" s="5"/>
      <c r="E81" s="5"/>
      <c r="F81" s="5"/>
      <c r="G81" s="5"/>
      <c r="H81" s="5"/>
      <c r="I81" s="5"/>
      <c r="J81" s="5"/>
      <c r="K81" s="5"/>
    </row>
    <row r="82" spans="1:11" ht="15.75" customHeight="1" x14ac:dyDescent="0.25">
      <c r="A82" s="5"/>
      <c r="B82" s="5"/>
      <c r="C82" s="5"/>
      <c r="D82" s="5"/>
      <c r="E82" s="5"/>
      <c r="F82" s="5"/>
      <c r="G82" s="5"/>
      <c r="H82" s="5"/>
      <c r="I82" s="5"/>
      <c r="J82" s="5"/>
      <c r="K82" s="5"/>
    </row>
    <row r="83" spans="1:11" ht="15.75" customHeight="1" x14ac:dyDescent="0.25">
      <c r="A83" s="5"/>
      <c r="B83" s="5"/>
      <c r="C83" s="5"/>
      <c r="D83" s="5"/>
      <c r="E83" s="5"/>
      <c r="F83" s="5"/>
      <c r="G83" s="5"/>
      <c r="H83" s="5"/>
      <c r="I83" s="5"/>
      <c r="J83" s="5"/>
      <c r="K83" s="5"/>
    </row>
    <row r="84" spans="1:11" ht="15.75" customHeight="1" x14ac:dyDescent="0.25">
      <c r="A84" s="5"/>
      <c r="B84" s="5"/>
      <c r="C84" s="5"/>
      <c r="D84" s="5"/>
      <c r="E84" s="5"/>
      <c r="F84" s="5"/>
      <c r="G84" s="5"/>
      <c r="H84" s="5"/>
      <c r="I84" s="5"/>
      <c r="J84" s="5"/>
      <c r="K84" s="5"/>
    </row>
    <row r="85" spans="1:11" ht="15.75" customHeight="1" x14ac:dyDescent="0.25">
      <c r="A85" s="5"/>
      <c r="B85" s="5"/>
      <c r="C85" s="5"/>
      <c r="D85" s="5"/>
      <c r="E85" s="5"/>
      <c r="F85" s="5"/>
      <c r="G85" s="5"/>
      <c r="H85" s="5"/>
      <c r="I85" s="5"/>
      <c r="J85" s="5"/>
      <c r="K85" s="5"/>
    </row>
    <row r="86" spans="1:11" ht="15.75" customHeight="1" x14ac:dyDescent="0.25">
      <c r="A86" s="5"/>
      <c r="B86" s="5"/>
      <c r="C86" s="5"/>
      <c r="D86" s="5"/>
      <c r="E86" s="5"/>
      <c r="F86" s="5"/>
      <c r="G86" s="5"/>
      <c r="H86" s="5"/>
      <c r="I86" s="5"/>
      <c r="J86" s="5"/>
      <c r="K86" s="5"/>
    </row>
    <row r="87" spans="1:11" ht="15.75" customHeight="1" x14ac:dyDescent="0.25">
      <c r="A87" s="5"/>
      <c r="B87" s="5"/>
      <c r="C87" s="5"/>
      <c r="D87" s="5"/>
      <c r="E87" s="5"/>
      <c r="F87" s="5"/>
      <c r="G87" s="5"/>
      <c r="H87" s="5"/>
      <c r="I87" s="5"/>
      <c r="J87" s="5"/>
      <c r="K87" s="5"/>
    </row>
    <row r="88" spans="1:11" ht="15.75" customHeight="1" x14ac:dyDescent="0.25">
      <c r="A88" s="5"/>
      <c r="B88" s="5"/>
      <c r="C88" s="5"/>
      <c r="D88" s="5"/>
      <c r="E88" s="5"/>
      <c r="F88" s="5"/>
      <c r="G88" s="5"/>
      <c r="H88" s="5"/>
      <c r="I88" s="5"/>
      <c r="J88" s="5"/>
      <c r="K88" s="5"/>
    </row>
    <row r="89" spans="1:11" ht="15.75" customHeight="1" x14ac:dyDescent="0.25">
      <c r="A89" s="5"/>
      <c r="B89" s="5"/>
      <c r="C89" s="5"/>
      <c r="D89" s="5"/>
      <c r="E89" s="5"/>
      <c r="F89" s="5"/>
      <c r="G89" s="5"/>
      <c r="H89" s="5"/>
      <c r="I89" s="5"/>
      <c r="J89" s="5"/>
      <c r="K89" s="5"/>
    </row>
    <row r="90" spans="1:11" ht="15.75" customHeight="1" x14ac:dyDescent="0.25">
      <c r="A90" s="5"/>
      <c r="B90" s="5"/>
      <c r="C90" s="5"/>
      <c r="D90" s="5"/>
      <c r="E90" s="5"/>
      <c r="F90" s="5"/>
      <c r="G90" s="5"/>
      <c r="H90" s="5"/>
      <c r="I90" s="5"/>
      <c r="J90" s="5"/>
      <c r="K90" s="5"/>
    </row>
    <row r="91" spans="1:11" ht="15.75" customHeight="1" x14ac:dyDescent="0.25">
      <c r="A91" s="5"/>
      <c r="B91" s="5"/>
      <c r="C91" s="5"/>
      <c r="D91" s="5"/>
      <c r="E91" s="5"/>
      <c r="F91" s="5"/>
      <c r="G91" s="5"/>
      <c r="H91" s="5"/>
      <c r="I91" s="5"/>
      <c r="J91" s="5"/>
      <c r="K91" s="5"/>
    </row>
    <row r="92" spans="1:11" ht="15.75" customHeight="1" x14ac:dyDescent="0.25">
      <c r="A92" s="5"/>
      <c r="B92" s="5"/>
      <c r="C92" s="5"/>
      <c r="D92" s="5"/>
      <c r="E92" s="5"/>
      <c r="F92" s="5"/>
      <c r="G92" s="5"/>
      <c r="H92" s="5"/>
      <c r="I92" s="5"/>
      <c r="J92" s="5"/>
      <c r="K92" s="5"/>
    </row>
    <row r="93" spans="1:11" ht="15.75" customHeight="1" x14ac:dyDescent="0.25">
      <c r="A93" s="5"/>
      <c r="B93" s="5"/>
      <c r="C93" s="5"/>
      <c r="D93" s="5"/>
      <c r="E93" s="5"/>
      <c r="F93" s="5"/>
      <c r="G93" s="5"/>
      <c r="H93" s="5"/>
      <c r="I93" s="5"/>
      <c r="J93" s="5"/>
      <c r="K93" s="5"/>
    </row>
    <row r="94" spans="1:11" ht="15.75" customHeight="1" x14ac:dyDescent="0.25">
      <c r="A94" s="5"/>
      <c r="B94" s="5"/>
      <c r="C94" s="5"/>
      <c r="D94" s="5"/>
      <c r="E94" s="5"/>
      <c r="F94" s="5"/>
      <c r="G94" s="5"/>
      <c r="H94" s="5"/>
      <c r="I94" s="5"/>
      <c r="J94" s="5"/>
      <c r="K94" s="5"/>
    </row>
    <row r="95" spans="1:11" ht="15.75" customHeight="1" x14ac:dyDescent="0.25">
      <c r="A95" s="5"/>
      <c r="B95" s="5"/>
      <c r="C95" s="5"/>
      <c r="D95" s="5"/>
      <c r="E95" s="5"/>
      <c r="F95" s="5"/>
      <c r="G95" s="5"/>
      <c r="H95" s="5"/>
      <c r="I95" s="5"/>
      <c r="J95" s="5"/>
      <c r="K95" s="5"/>
    </row>
    <row r="96" spans="1:11" ht="15.75" customHeight="1" x14ac:dyDescent="0.25">
      <c r="A96" s="5"/>
      <c r="B96" s="5"/>
      <c r="C96" s="5"/>
      <c r="D96" s="5"/>
      <c r="E96" s="5"/>
      <c r="F96" s="5"/>
      <c r="G96" s="5"/>
      <c r="H96" s="5"/>
      <c r="I96" s="5"/>
      <c r="J96" s="5"/>
      <c r="K96" s="5"/>
    </row>
    <row r="97" spans="1:11" ht="15.75" customHeight="1" x14ac:dyDescent="0.25">
      <c r="A97" s="5"/>
      <c r="B97" s="5"/>
      <c r="C97" s="5"/>
      <c r="D97" s="5"/>
      <c r="E97" s="5"/>
      <c r="F97" s="5"/>
      <c r="G97" s="5"/>
      <c r="H97" s="5"/>
      <c r="I97" s="5"/>
      <c r="J97" s="5"/>
      <c r="K97" s="5"/>
    </row>
    <row r="98" spans="1:11" ht="15.75" customHeight="1" x14ac:dyDescent="0.25">
      <c r="A98" s="5"/>
      <c r="B98" s="5"/>
      <c r="C98" s="5"/>
      <c r="D98" s="5"/>
      <c r="E98" s="5"/>
      <c r="F98" s="5"/>
      <c r="G98" s="5"/>
      <c r="H98" s="5"/>
      <c r="I98" s="5"/>
      <c r="J98" s="5"/>
      <c r="K98" s="5"/>
    </row>
    <row r="99" spans="1:11" ht="15.75" customHeight="1" x14ac:dyDescent="0.25">
      <c r="A99" s="5"/>
      <c r="B99" s="5"/>
      <c r="C99" s="5"/>
      <c r="D99" s="5"/>
      <c r="E99" s="5"/>
      <c r="F99" s="5"/>
      <c r="G99" s="5"/>
      <c r="H99" s="5"/>
      <c r="I99" s="5"/>
      <c r="J99" s="5"/>
      <c r="K99" s="5"/>
    </row>
    <row r="100" spans="1:11" ht="15.75" customHeight="1" x14ac:dyDescent="0.25">
      <c r="A100" s="5"/>
      <c r="B100" s="5"/>
      <c r="C100" s="5"/>
      <c r="D100" s="5"/>
      <c r="E100" s="5"/>
      <c r="F100" s="5"/>
      <c r="G100" s="5"/>
      <c r="H100" s="5"/>
      <c r="I100" s="5"/>
      <c r="J100" s="5"/>
      <c r="K100" s="5"/>
    </row>
  </sheetData>
  <mergeCells count="2">
    <mergeCell ref="A5:G5"/>
    <mergeCell ref="A6:G6"/>
  </mergeCells>
  <pageMargins left="0.7" right="0.7" top="0.75" bottom="0.75" header="0" footer="0"/>
  <pageSetup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CFFFF"/>
  </sheetPr>
  <dimension ref="A1:K123"/>
  <sheetViews>
    <sheetView tabSelected="1" topLeftCell="A21" zoomScaleNormal="100" workbookViewId="0">
      <selection activeCell="D32" sqref="D32"/>
    </sheetView>
  </sheetViews>
  <sheetFormatPr defaultColWidth="14.42578125" defaultRowHeight="15" customHeight="1" x14ac:dyDescent="0.25"/>
  <cols>
    <col min="1" max="1" width="6.7109375" customWidth="1"/>
    <col min="2" max="2" width="65" customWidth="1"/>
    <col min="3" max="3" width="18.28515625" customWidth="1"/>
    <col min="4" max="4" width="14.85546875" customWidth="1"/>
    <col min="5" max="5" width="7.42578125" customWidth="1"/>
    <col min="6" max="6" width="98.140625" bestFit="1" customWidth="1"/>
    <col min="7" max="7" width="12.140625" customWidth="1"/>
    <col min="8" max="8" width="15.85546875" customWidth="1"/>
    <col min="9" max="11" width="8" customWidth="1"/>
  </cols>
  <sheetData>
    <row r="1" spans="1:11" ht="15.75" customHeight="1" x14ac:dyDescent="0.25">
      <c r="A1" s="40" t="str">
        <f>'3.Tổng hợp chi phí phần mềm'!A1</f>
        <v>VIỄN THÔNG KHÁNH HÒA</v>
      </c>
      <c r="B1" s="4"/>
      <c r="C1" s="41"/>
      <c r="D1" s="4"/>
      <c r="E1" s="41"/>
      <c r="F1" s="4"/>
      <c r="G1" s="41"/>
      <c r="H1" s="5"/>
      <c r="I1" s="5"/>
      <c r="J1" s="5"/>
      <c r="K1" s="5"/>
    </row>
    <row r="2" spans="1:11" ht="15.75" customHeight="1" x14ac:dyDescent="0.25">
      <c r="A2" s="40" t="str">
        <f>'3.Tổng hợp chi phí phần mềm'!A2</f>
        <v>TRUNG TÂM CÔNG NGHỆ THÔNG TIN</v>
      </c>
      <c r="B2" s="4"/>
      <c r="C2" s="41"/>
      <c r="D2" s="4"/>
      <c r="E2" s="41"/>
      <c r="F2" s="4"/>
      <c r="G2" s="41"/>
      <c r="H2" s="5"/>
      <c r="I2" s="5"/>
      <c r="J2" s="5"/>
      <c r="K2" s="5"/>
    </row>
    <row r="3" spans="1:11" ht="15.75" customHeight="1" x14ac:dyDescent="0.25">
      <c r="A3" s="42"/>
      <c r="B3" s="43"/>
      <c r="C3" s="42"/>
      <c r="D3" s="43"/>
      <c r="E3" s="44"/>
      <c r="F3" s="43"/>
      <c r="G3" s="42"/>
      <c r="H3" s="45"/>
      <c r="I3" s="46"/>
      <c r="J3" s="46"/>
      <c r="K3" s="46"/>
    </row>
    <row r="4" spans="1:11" ht="15.75" customHeight="1" x14ac:dyDescent="0.25">
      <c r="A4" s="42"/>
      <c r="B4" s="43"/>
      <c r="C4" s="42"/>
      <c r="D4" s="43"/>
      <c r="E4" s="44"/>
      <c r="F4" s="43"/>
      <c r="G4" s="42"/>
      <c r="H4" s="45"/>
      <c r="I4" s="46"/>
      <c r="J4" s="46"/>
      <c r="K4" s="46"/>
    </row>
    <row r="5" spans="1:11" ht="54" customHeight="1" x14ac:dyDescent="0.25">
      <c r="A5" s="289" t="s">
        <v>74</v>
      </c>
      <c r="B5" s="281"/>
      <c r="C5" s="281"/>
      <c r="D5" s="281"/>
      <c r="E5" s="281"/>
      <c r="F5" s="281"/>
      <c r="G5" s="281"/>
      <c r="H5" s="47"/>
      <c r="I5" s="42"/>
      <c r="J5" s="42"/>
      <c r="K5" s="42"/>
    </row>
    <row r="6" spans="1:11" ht="27" customHeight="1" x14ac:dyDescent="0.25">
      <c r="A6" s="290" t="str">
        <f>'3.Tổng hợp chi phí phần mềm'!A6:F6</f>
        <v>Phần mềm Hệ thống thông tin báo cáo - Sở Du lịch KHA</v>
      </c>
      <c r="B6" s="281"/>
      <c r="C6" s="281"/>
      <c r="D6" s="281"/>
      <c r="E6" s="281"/>
      <c r="F6" s="281"/>
      <c r="G6" s="281"/>
      <c r="H6" s="47"/>
      <c r="I6" s="42"/>
      <c r="J6" s="42"/>
      <c r="K6" s="42"/>
    </row>
    <row r="7" spans="1:11" ht="15.75" customHeight="1" x14ac:dyDescent="0.25">
      <c r="A7" s="42"/>
      <c r="B7" s="42"/>
      <c r="C7" s="42"/>
      <c r="D7" s="42"/>
      <c r="E7" s="44"/>
      <c r="F7" s="42"/>
      <c r="G7" s="42"/>
      <c r="H7" s="47"/>
      <c r="I7" s="42"/>
      <c r="J7" s="42"/>
      <c r="K7" s="42"/>
    </row>
    <row r="8" spans="1:11" ht="54" customHeight="1" x14ac:dyDescent="0.25">
      <c r="A8" s="155" t="s">
        <v>33</v>
      </c>
      <c r="B8" s="155" t="s">
        <v>75</v>
      </c>
      <c r="C8" s="155" t="s">
        <v>76</v>
      </c>
      <c r="D8" s="155" t="s">
        <v>77</v>
      </c>
      <c r="E8" s="155" t="s">
        <v>78</v>
      </c>
      <c r="F8" s="155" t="s">
        <v>79</v>
      </c>
      <c r="G8" s="155" t="s">
        <v>80</v>
      </c>
      <c r="H8" s="47"/>
      <c r="I8" s="42"/>
      <c r="J8" s="42"/>
      <c r="K8" s="42"/>
    </row>
    <row r="9" spans="1:11" ht="16.5" customHeight="1" x14ac:dyDescent="0.25">
      <c r="A9" s="291" t="s">
        <v>241</v>
      </c>
      <c r="B9" s="292"/>
      <c r="C9" s="292"/>
      <c r="D9" s="292"/>
      <c r="E9" s="292"/>
      <c r="F9" s="292"/>
      <c r="G9" s="292"/>
      <c r="H9" s="45"/>
      <c r="I9" s="46"/>
      <c r="J9" s="46"/>
      <c r="K9" s="46"/>
    </row>
    <row r="10" spans="1:11" ht="47.25" x14ac:dyDescent="0.25">
      <c r="A10" s="156">
        <v>1</v>
      </c>
      <c r="B10" s="157" t="s">
        <v>81</v>
      </c>
      <c r="C10" s="158" t="s">
        <v>243</v>
      </c>
      <c r="D10" s="158"/>
      <c r="E10" s="158" t="s">
        <v>82</v>
      </c>
      <c r="F10" s="166" t="s">
        <v>256</v>
      </c>
      <c r="G10" s="159" t="s">
        <v>83</v>
      </c>
      <c r="H10" s="45"/>
      <c r="I10" s="46"/>
      <c r="J10" s="46"/>
      <c r="K10" s="46"/>
    </row>
    <row r="11" spans="1:11" ht="15.75" customHeight="1" x14ac:dyDescent="0.25">
      <c r="A11" s="156">
        <v>2</v>
      </c>
      <c r="B11" s="157" t="s">
        <v>238</v>
      </c>
      <c r="C11" s="158" t="s">
        <v>243</v>
      </c>
      <c r="D11" s="158"/>
      <c r="E11" s="158" t="s">
        <v>82</v>
      </c>
      <c r="F11" s="166" t="s">
        <v>388</v>
      </c>
      <c r="G11" s="159" t="s">
        <v>83</v>
      </c>
      <c r="H11" s="45"/>
      <c r="I11" s="46"/>
      <c r="J11" s="46"/>
      <c r="K11" s="46"/>
    </row>
    <row r="12" spans="1:11" s="152" customFormat="1" ht="15.75" customHeight="1" x14ac:dyDescent="0.25">
      <c r="A12" s="156">
        <v>3</v>
      </c>
      <c r="B12" s="160" t="s">
        <v>239</v>
      </c>
      <c r="C12" s="158" t="s">
        <v>243</v>
      </c>
      <c r="D12" s="158"/>
      <c r="E12" s="158" t="s">
        <v>82</v>
      </c>
      <c r="F12" s="161" t="s">
        <v>240</v>
      </c>
      <c r="G12" s="159" t="s">
        <v>83</v>
      </c>
      <c r="H12" s="45"/>
      <c r="I12" s="46"/>
      <c r="J12" s="46"/>
      <c r="K12" s="46"/>
    </row>
    <row r="13" spans="1:11" s="168" customFormat="1" ht="31.5" x14ac:dyDescent="0.25">
      <c r="A13" s="156">
        <v>4</v>
      </c>
      <c r="B13" s="160" t="s">
        <v>257</v>
      </c>
      <c r="C13" s="158" t="s">
        <v>254</v>
      </c>
      <c r="D13" s="158"/>
      <c r="E13" s="158" t="s">
        <v>82</v>
      </c>
      <c r="F13" s="169" t="s">
        <v>255</v>
      </c>
      <c r="G13" s="159" t="s">
        <v>83</v>
      </c>
      <c r="H13" s="45"/>
      <c r="I13" s="46"/>
      <c r="J13" s="46"/>
      <c r="K13" s="46"/>
    </row>
    <row r="14" spans="1:11" s="167" customFormat="1" ht="94.5" x14ac:dyDescent="0.25">
      <c r="A14" s="156">
        <v>5</v>
      </c>
      <c r="B14" s="160" t="s">
        <v>244</v>
      </c>
      <c r="C14" s="158" t="s">
        <v>243</v>
      </c>
      <c r="D14" s="158"/>
      <c r="E14" s="158" t="s">
        <v>82</v>
      </c>
      <c r="F14" s="169" t="s">
        <v>325</v>
      </c>
      <c r="G14" s="159" t="s">
        <v>84</v>
      </c>
      <c r="H14" s="45"/>
      <c r="I14" s="46"/>
      <c r="J14" s="46"/>
      <c r="K14" s="46"/>
    </row>
    <row r="15" spans="1:11" ht="15.75" customHeight="1" x14ac:dyDescent="0.25">
      <c r="A15" s="286" t="s">
        <v>389</v>
      </c>
      <c r="B15" s="287"/>
      <c r="C15" s="287"/>
      <c r="D15" s="287"/>
      <c r="E15" s="287"/>
      <c r="F15" s="287"/>
      <c r="G15" s="288"/>
      <c r="H15" s="45"/>
      <c r="I15" s="46"/>
      <c r="J15" s="46"/>
      <c r="K15" s="46"/>
    </row>
    <row r="16" spans="1:11" s="154" customFormat="1" ht="15.75" x14ac:dyDescent="0.25">
      <c r="A16" s="156">
        <v>6</v>
      </c>
      <c r="B16" s="160" t="s">
        <v>260</v>
      </c>
      <c r="C16" s="158" t="s">
        <v>245</v>
      </c>
      <c r="D16" s="162" t="s">
        <v>243</v>
      </c>
      <c r="E16" s="158" t="s">
        <v>82</v>
      </c>
      <c r="F16" s="164" t="s">
        <v>246</v>
      </c>
      <c r="G16" s="159" t="s">
        <v>84</v>
      </c>
      <c r="H16" s="45"/>
      <c r="I16" s="46"/>
      <c r="J16" s="46"/>
      <c r="K16" s="46"/>
    </row>
    <row r="17" spans="1:11" s="168" customFormat="1" ht="15.75" x14ac:dyDescent="0.25">
      <c r="A17" s="156">
        <v>7</v>
      </c>
      <c r="B17" s="160" t="s">
        <v>261</v>
      </c>
      <c r="C17" s="158" t="s">
        <v>245</v>
      </c>
      <c r="D17" s="162" t="s">
        <v>243</v>
      </c>
      <c r="E17" s="158" t="s">
        <v>82</v>
      </c>
      <c r="F17" s="164" t="s">
        <v>246</v>
      </c>
      <c r="G17" s="159" t="s">
        <v>84</v>
      </c>
      <c r="H17" s="45"/>
      <c r="I17" s="46"/>
      <c r="J17" s="46"/>
      <c r="K17" s="46"/>
    </row>
    <row r="18" spans="1:11" s="168" customFormat="1" ht="15.75" x14ac:dyDescent="0.25">
      <c r="A18" s="156">
        <v>8</v>
      </c>
      <c r="B18" s="160" t="s">
        <v>262</v>
      </c>
      <c r="C18" s="158" t="s">
        <v>245</v>
      </c>
      <c r="D18" s="162" t="s">
        <v>243</v>
      </c>
      <c r="E18" s="158" t="s">
        <v>82</v>
      </c>
      <c r="F18" s="164" t="s">
        <v>246</v>
      </c>
      <c r="G18" s="159" t="s">
        <v>84</v>
      </c>
      <c r="H18" s="45"/>
      <c r="I18" s="46"/>
      <c r="J18" s="46"/>
      <c r="K18" s="46"/>
    </row>
    <row r="19" spans="1:11" s="168" customFormat="1" ht="15.75" x14ac:dyDescent="0.25">
      <c r="A19" s="156">
        <v>9</v>
      </c>
      <c r="B19" s="160" t="s">
        <v>264</v>
      </c>
      <c r="C19" s="158" t="s">
        <v>245</v>
      </c>
      <c r="D19" s="162" t="s">
        <v>243</v>
      </c>
      <c r="E19" s="158" t="s">
        <v>82</v>
      </c>
      <c r="F19" s="164" t="s">
        <v>246</v>
      </c>
      <c r="G19" s="159" t="s">
        <v>84</v>
      </c>
      <c r="H19" s="45"/>
      <c r="I19" s="46"/>
      <c r="J19" s="46"/>
      <c r="K19" s="46"/>
    </row>
    <row r="20" spans="1:11" s="168" customFormat="1" ht="15.75" x14ac:dyDescent="0.25">
      <c r="A20" s="156">
        <v>10</v>
      </c>
      <c r="B20" s="160" t="s">
        <v>263</v>
      </c>
      <c r="C20" s="158" t="s">
        <v>245</v>
      </c>
      <c r="D20" s="162" t="s">
        <v>243</v>
      </c>
      <c r="E20" s="158" t="s">
        <v>82</v>
      </c>
      <c r="F20" s="164" t="s">
        <v>246</v>
      </c>
      <c r="G20" s="159" t="s">
        <v>84</v>
      </c>
      <c r="H20" s="45"/>
      <c r="I20" s="46"/>
      <c r="J20" s="46"/>
      <c r="K20" s="46"/>
    </row>
    <row r="21" spans="1:11" s="175" customFormat="1" ht="31.5" x14ac:dyDescent="0.25">
      <c r="A21" s="156">
        <v>11</v>
      </c>
      <c r="B21" s="160" t="s">
        <v>322</v>
      </c>
      <c r="C21" s="158" t="s">
        <v>245</v>
      </c>
      <c r="D21" s="162" t="s">
        <v>243</v>
      </c>
      <c r="E21" s="158" t="s">
        <v>82</v>
      </c>
      <c r="F21" s="164" t="s">
        <v>323</v>
      </c>
      <c r="G21" s="159" t="s">
        <v>84</v>
      </c>
      <c r="H21" s="45"/>
      <c r="I21" s="46"/>
      <c r="J21" s="46"/>
      <c r="K21" s="46"/>
    </row>
    <row r="22" spans="1:11" s="222" customFormat="1" ht="15.75" x14ac:dyDescent="0.25">
      <c r="A22" s="286" t="s">
        <v>385</v>
      </c>
      <c r="B22" s="287"/>
      <c r="C22" s="287"/>
      <c r="D22" s="287"/>
      <c r="E22" s="287"/>
      <c r="F22" s="287"/>
      <c r="G22" s="288"/>
      <c r="H22" s="45"/>
      <c r="I22" s="46"/>
      <c r="J22" s="46"/>
      <c r="K22" s="46"/>
    </row>
    <row r="23" spans="1:11" s="154" customFormat="1" ht="15.75" x14ac:dyDescent="0.25">
      <c r="A23" s="156">
        <v>12</v>
      </c>
      <c r="B23" s="160" t="s">
        <v>265</v>
      </c>
      <c r="C23" s="158" t="s">
        <v>243</v>
      </c>
      <c r="D23" s="162"/>
      <c r="E23" s="158" t="s">
        <v>82</v>
      </c>
      <c r="F23" s="164" t="s">
        <v>324</v>
      </c>
      <c r="G23" s="159" t="s">
        <v>84</v>
      </c>
      <c r="H23" s="45"/>
      <c r="I23" s="46"/>
      <c r="J23" s="46"/>
      <c r="K23" s="46"/>
    </row>
    <row r="24" spans="1:11" s="167" customFormat="1" ht="31.5" x14ac:dyDescent="0.25">
      <c r="A24" s="156">
        <v>13</v>
      </c>
      <c r="B24" s="160" t="s">
        <v>259</v>
      </c>
      <c r="C24" s="158" t="s">
        <v>243</v>
      </c>
      <c r="D24" s="162" t="s">
        <v>245</v>
      </c>
      <c r="E24" s="158" t="s">
        <v>82</v>
      </c>
      <c r="F24" s="170" t="s">
        <v>249</v>
      </c>
      <c r="G24" s="159" t="s">
        <v>84</v>
      </c>
      <c r="H24" s="45"/>
      <c r="I24" s="46"/>
      <c r="J24" s="46"/>
      <c r="K24" s="46"/>
    </row>
    <row r="25" spans="1:11" s="168" customFormat="1" ht="31.5" x14ac:dyDescent="0.25">
      <c r="A25" s="156">
        <v>14</v>
      </c>
      <c r="B25" s="176" t="s">
        <v>266</v>
      </c>
      <c r="C25" s="158" t="s">
        <v>243</v>
      </c>
      <c r="D25" s="162" t="s">
        <v>245</v>
      </c>
      <c r="E25" s="158" t="s">
        <v>82</v>
      </c>
      <c r="F25" s="170" t="s">
        <v>249</v>
      </c>
      <c r="G25" s="159" t="s">
        <v>84</v>
      </c>
      <c r="H25" s="45"/>
      <c r="I25" s="46"/>
      <c r="J25" s="46"/>
      <c r="K25" s="46"/>
    </row>
    <row r="26" spans="1:11" s="168" customFormat="1" ht="31.5" x14ac:dyDescent="0.25">
      <c r="A26" s="156">
        <v>15</v>
      </c>
      <c r="B26" s="176" t="s">
        <v>267</v>
      </c>
      <c r="C26" s="158" t="s">
        <v>243</v>
      </c>
      <c r="D26" s="162" t="s">
        <v>245</v>
      </c>
      <c r="E26" s="158" t="s">
        <v>82</v>
      </c>
      <c r="F26" s="170" t="s">
        <v>249</v>
      </c>
      <c r="G26" s="159" t="s">
        <v>84</v>
      </c>
      <c r="H26" s="45"/>
      <c r="I26" s="46"/>
      <c r="J26" s="46"/>
      <c r="K26" s="46"/>
    </row>
    <row r="27" spans="1:11" s="168" customFormat="1" ht="31.5" x14ac:dyDescent="0.25">
      <c r="A27" s="156">
        <v>16</v>
      </c>
      <c r="B27" s="176" t="s">
        <v>268</v>
      </c>
      <c r="C27" s="158" t="s">
        <v>243</v>
      </c>
      <c r="D27" s="162" t="s">
        <v>245</v>
      </c>
      <c r="E27" s="158" t="s">
        <v>82</v>
      </c>
      <c r="F27" s="170" t="s">
        <v>249</v>
      </c>
      <c r="G27" s="159" t="s">
        <v>84</v>
      </c>
      <c r="H27" s="45"/>
      <c r="I27" s="46"/>
      <c r="J27" s="46"/>
      <c r="K27" s="46"/>
    </row>
    <row r="28" spans="1:11" s="168" customFormat="1" ht="31.5" x14ac:dyDescent="0.25">
      <c r="A28" s="156">
        <v>17</v>
      </c>
      <c r="B28" s="176" t="s">
        <v>269</v>
      </c>
      <c r="C28" s="158" t="s">
        <v>243</v>
      </c>
      <c r="D28" s="162" t="s">
        <v>245</v>
      </c>
      <c r="E28" s="158" t="s">
        <v>82</v>
      </c>
      <c r="F28" s="170" t="s">
        <v>249</v>
      </c>
      <c r="G28" s="159" t="s">
        <v>84</v>
      </c>
      <c r="H28" s="45"/>
      <c r="I28" s="46"/>
      <c r="J28" s="46"/>
      <c r="K28" s="46"/>
    </row>
    <row r="29" spans="1:11" s="168" customFormat="1" ht="31.5" x14ac:dyDescent="0.25">
      <c r="A29" s="156">
        <v>18</v>
      </c>
      <c r="B29" s="176" t="s">
        <v>270</v>
      </c>
      <c r="C29" s="158" t="s">
        <v>243</v>
      </c>
      <c r="D29" s="162" t="s">
        <v>245</v>
      </c>
      <c r="E29" s="158" t="s">
        <v>82</v>
      </c>
      <c r="F29" s="170" t="s">
        <v>249</v>
      </c>
      <c r="G29" s="159" t="s">
        <v>84</v>
      </c>
      <c r="H29" s="45"/>
      <c r="I29" s="46"/>
      <c r="J29" s="46"/>
      <c r="K29" s="46"/>
    </row>
    <row r="30" spans="1:11" s="175" customFormat="1" ht="63" x14ac:dyDescent="0.25">
      <c r="A30" s="156">
        <v>19</v>
      </c>
      <c r="B30" s="160" t="s">
        <v>327</v>
      </c>
      <c r="C30" s="158" t="s">
        <v>243</v>
      </c>
      <c r="D30" s="162" t="s">
        <v>245</v>
      </c>
      <c r="E30" s="158" t="s">
        <v>82</v>
      </c>
      <c r="F30" s="164" t="s">
        <v>328</v>
      </c>
      <c r="G30" s="159" t="s">
        <v>84</v>
      </c>
      <c r="H30" s="45"/>
      <c r="I30" s="46"/>
      <c r="J30" s="46"/>
      <c r="K30" s="46"/>
    </row>
    <row r="31" spans="1:11" s="222" customFormat="1" ht="31.5" x14ac:dyDescent="0.25">
      <c r="A31" s="156">
        <v>20</v>
      </c>
      <c r="B31" s="334" t="s">
        <v>326</v>
      </c>
      <c r="C31" s="335" t="s">
        <v>243</v>
      </c>
      <c r="D31" s="335" t="s">
        <v>245</v>
      </c>
      <c r="E31" s="335" t="s">
        <v>82</v>
      </c>
      <c r="F31" s="336" t="s">
        <v>329</v>
      </c>
      <c r="G31" s="337" t="s">
        <v>84</v>
      </c>
      <c r="H31" s="45"/>
      <c r="I31" s="46"/>
      <c r="J31" s="46"/>
      <c r="K31" s="46"/>
    </row>
    <row r="32" spans="1:11" s="222" customFormat="1" ht="15.75" x14ac:dyDescent="0.25">
      <c r="A32" s="156">
        <v>21</v>
      </c>
      <c r="B32" s="334" t="s">
        <v>330</v>
      </c>
      <c r="C32" s="335" t="s">
        <v>243</v>
      </c>
      <c r="D32" s="335"/>
      <c r="E32" s="335" t="s">
        <v>82</v>
      </c>
      <c r="F32" s="336" t="s">
        <v>331</v>
      </c>
      <c r="G32" s="338" t="s">
        <v>84</v>
      </c>
      <c r="H32" s="45"/>
      <c r="I32" s="46"/>
      <c r="J32" s="46"/>
      <c r="K32" s="46"/>
    </row>
    <row r="33" spans="1:11" s="222" customFormat="1" ht="47.25" x14ac:dyDescent="0.25">
      <c r="A33" s="156">
        <v>22</v>
      </c>
      <c r="B33" s="334" t="s">
        <v>332</v>
      </c>
      <c r="C33" s="335" t="s">
        <v>243</v>
      </c>
      <c r="D33" s="335"/>
      <c r="E33" s="335" t="s">
        <v>82</v>
      </c>
      <c r="F33" s="336" t="s">
        <v>333</v>
      </c>
      <c r="G33" s="337" t="s">
        <v>84</v>
      </c>
      <c r="H33" s="45"/>
      <c r="I33" s="46"/>
      <c r="J33" s="46"/>
      <c r="K33" s="46"/>
    </row>
    <row r="34" spans="1:11" s="222" customFormat="1" ht="31.5" x14ac:dyDescent="0.25">
      <c r="A34" s="156">
        <v>23</v>
      </c>
      <c r="B34" s="334" t="s">
        <v>382</v>
      </c>
      <c r="C34" s="335" t="s">
        <v>243</v>
      </c>
      <c r="D34" s="335"/>
      <c r="E34" s="335" t="s">
        <v>82</v>
      </c>
      <c r="F34" s="336" t="s">
        <v>383</v>
      </c>
      <c r="G34" s="337" t="s">
        <v>84</v>
      </c>
      <c r="H34" s="45"/>
      <c r="I34" s="46"/>
      <c r="J34" s="46"/>
      <c r="K34" s="46"/>
    </row>
    <row r="35" spans="1:11" s="152" customFormat="1" ht="15.75" customHeight="1" x14ac:dyDescent="0.25">
      <c r="A35" s="286" t="s">
        <v>386</v>
      </c>
      <c r="B35" s="287"/>
      <c r="C35" s="287"/>
      <c r="D35" s="287"/>
      <c r="E35" s="287"/>
      <c r="F35" s="287"/>
      <c r="G35" s="288"/>
      <c r="H35" s="45"/>
      <c r="I35" s="46"/>
      <c r="J35" s="46"/>
      <c r="K35" s="46"/>
    </row>
    <row r="36" spans="1:11" s="152" customFormat="1" ht="15.75" x14ac:dyDescent="0.25">
      <c r="A36" s="156">
        <v>24</v>
      </c>
      <c r="B36" s="160" t="s">
        <v>247</v>
      </c>
      <c r="C36" s="158" t="s">
        <v>243</v>
      </c>
      <c r="D36" s="165"/>
      <c r="E36" s="158" t="s">
        <v>82</v>
      </c>
      <c r="F36" s="163" t="s">
        <v>248</v>
      </c>
      <c r="G36" s="159" t="s">
        <v>83</v>
      </c>
      <c r="H36" s="45"/>
      <c r="I36" s="46"/>
      <c r="J36" s="46"/>
      <c r="K36" s="46"/>
    </row>
    <row r="37" spans="1:11" s="152" customFormat="1" ht="15.75" x14ac:dyDescent="0.25">
      <c r="A37" s="156">
        <v>25</v>
      </c>
      <c r="B37" s="160" t="s">
        <v>258</v>
      </c>
      <c r="C37" s="158" t="s">
        <v>243</v>
      </c>
      <c r="D37" s="165"/>
      <c r="E37" s="158" t="s">
        <v>82</v>
      </c>
      <c r="F37" s="163" t="s">
        <v>250</v>
      </c>
      <c r="G37" s="159" t="s">
        <v>83</v>
      </c>
      <c r="H37" s="45"/>
      <c r="I37" s="46"/>
      <c r="J37" s="46"/>
      <c r="K37" s="46"/>
    </row>
    <row r="38" spans="1:11" s="152" customFormat="1" ht="15.75" customHeight="1" x14ac:dyDescent="0.25">
      <c r="A38" s="286" t="s">
        <v>387</v>
      </c>
      <c r="B38" s="287"/>
      <c r="C38" s="287"/>
      <c r="D38" s="287"/>
      <c r="E38" s="287"/>
      <c r="F38" s="287"/>
      <c r="G38" s="288"/>
      <c r="H38" s="45"/>
      <c r="I38" s="46"/>
      <c r="J38" s="46"/>
      <c r="K38" s="46"/>
    </row>
    <row r="39" spans="1:11" s="152" customFormat="1" ht="18" customHeight="1" x14ac:dyDescent="0.25">
      <c r="A39" s="156">
        <v>26</v>
      </c>
      <c r="B39" s="160" t="s">
        <v>251</v>
      </c>
      <c r="C39" s="158" t="s">
        <v>243</v>
      </c>
      <c r="D39" s="159" t="s">
        <v>245</v>
      </c>
      <c r="E39" s="158" t="s">
        <v>82</v>
      </c>
      <c r="F39" s="166" t="s">
        <v>252</v>
      </c>
      <c r="G39" s="159" t="s">
        <v>84</v>
      </c>
      <c r="H39" s="45"/>
      <c r="I39" s="46"/>
      <c r="J39" s="46"/>
      <c r="K39" s="46"/>
    </row>
    <row r="40" spans="1:11" s="175" customFormat="1" ht="18" customHeight="1" x14ac:dyDescent="0.25">
      <c r="A40" s="156">
        <v>27</v>
      </c>
      <c r="B40" s="160" t="s">
        <v>321</v>
      </c>
      <c r="C40" s="158" t="s">
        <v>243</v>
      </c>
      <c r="D40" s="159" t="s">
        <v>245</v>
      </c>
      <c r="E40" s="158" t="s">
        <v>82</v>
      </c>
      <c r="F40" s="166" t="s">
        <v>252</v>
      </c>
      <c r="G40" s="159" t="s">
        <v>84</v>
      </c>
      <c r="H40" s="45"/>
      <c r="I40" s="46"/>
      <c r="J40" s="46"/>
      <c r="K40" s="46"/>
    </row>
    <row r="41" spans="1:11" s="152" customFormat="1" ht="15.75" x14ac:dyDescent="0.25">
      <c r="A41" s="156">
        <v>28</v>
      </c>
      <c r="B41" s="160" t="s">
        <v>253</v>
      </c>
      <c r="C41" s="158" t="s">
        <v>243</v>
      </c>
      <c r="D41" s="159" t="s">
        <v>245</v>
      </c>
      <c r="E41" s="158" t="s">
        <v>82</v>
      </c>
      <c r="F41" s="166" t="s">
        <v>272</v>
      </c>
      <c r="G41" s="159" t="s">
        <v>84</v>
      </c>
      <c r="H41" s="45"/>
      <c r="I41" s="46"/>
      <c r="J41" s="46"/>
      <c r="K41" s="46"/>
    </row>
    <row r="42" spans="1:11" s="152" customFormat="1" ht="15.75" customHeight="1" x14ac:dyDescent="0.25">
      <c r="A42" s="156">
        <v>29</v>
      </c>
      <c r="B42" s="177" t="s">
        <v>271</v>
      </c>
      <c r="C42" s="158" t="s">
        <v>243</v>
      </c>
      <c r="D42" s="159" t="s">
        <v>245</v>
      </c>
      <c r="E42" s="158" t="s">
        <v>82</v>
      </c>
      <c r="F42" s="163" t="s">
        <v>273</v>
      </c>
      <c r="G42" s="159" t="s">
        <v>84</v>
      </c>
      <c r="H42" s="45"/>
      <c r="I42" s="46"/>
      <c r="J42" s="46"/>
      <c r="K42" s="46"/>
    </row>
    <row r="43" spans="1:11" s="152" customFormat="1" ht="15.75" customHeight="1" x14ac:dyDescent="0.25">
      <c r="A43" s="50"/>
      <c r="B43" s="49"/>
      <c r="C43" s="42"/>
      <c r="D43" s="43"/>
      <c r="E43" s="44"/>
      <c r="F43" s="51"/>
      <c r="G43" s="42"/>
      <c r="H43" s="45"/>
      <c r="I43" s="46"/>
      <c r="J43" s="46"/>
      <c r="K43" s="46"/>
    </row>
    <row r="44" spans="1:11" s="152" customFormat="1" ht="15.75" customHeight="1" x14ac:dyDescent="0.25">
      <c r="A44" s="50"/>
      <c r="B44" s="49"/>
      <c r="C44" s="42"/>
      <c r="D44" s="43"/>
      <c r="E44" s="44"/>
      <c r="F44" s="51"/>
      <c r="G44" s="42"/>
      <c r="H44" s="45"/>
      <c r="I44" s="46"/>
      <c r="J44" s="46"/>
      <c r="K44" s="46"/>
    </row>
    <row r="45" spans="1:11" ht="15.75" customHeight="1" x14ac:dyDescent="0.25">
      <c r="A45" s="42"/>
      <c r="B45" s="52" t="s">
        <v>86</v>
      </c>
      <c r="C45" s="53" t="s">
        <v>82</v>
      </c>
      <c r="D45" s="54"/>
      <c r="E45" s="44"/>
      <c r="F45" s="43"/>
      <c r="G45" s="42"/>
      <c r="H45" s="45"/>
      <c r="I45" s="46"/>
      <c r="J45" s="46"/>
      <c r="K45" s="46"/>
    </row>
    <row r="46" spans="1:11" ht="15.75" customHeight="1" x14ac:dyDescent="0.25">
      <c r="A46" s="42"/>
      <c r="B46" s="49"/>
      <c r="C46" s="3" t="s">
        <v>83</v>
      </c>
      <c r="D46" s="11">
        <f>SUMPRODUCT(($E$9:$E$42=$C$45)*($G$9:$G$42=C46))</f>
        <v>6</v>
      </c>
      <c r="E46" s="44"/>
      <c r="F46" s="43"/>
      <c r="G46" s="42"/>
      <c r="H46" s="45"/>
      <c r="I46" s="46"/>
      <c r="J46" s="46"/>
      <c r="K46" s="46"/>
    </row>
    <row r="47" spans="1:11" ht="15.75" customHeight="1" x14ac:dyDescent="0.25">
      <c r="A47" s="42"/>
      <c r="B47" s="49"/>
      <c r="C47" s="3" t="s">
        <v>84</v>
      </c>
      <c r="D47" s="11">
        <f>SUMPRODUCT(($E$9:$E$42=$C$45)*($G$9:$G$42=C47))</f>
        <v>23</v>
      </c>
      <c r="E47" s="44"/>
      <c r="F47" s="43"/>
      <c r="G47" s="42"/>
      <c r="H47" s="45"/>
      <c r="I47" s="46"/>
      <c r="J47" s="46"/>
      <c r="K47" s="46"/>
    </row>
    <row r="48" spans="1:11" ht="15.75" customHeight="1" x14ac:dyDescent="0.25">
      <c r="A48" s="42"/>
      <c r="B48" s="43"/>
      <c r="C48" s="3" t="s">
        <v>85</v>
      </c>
      <c r="D48" s="11">
        <f>SUMPRODUCT(($E$9:$E$42=$C$45)*($G$9:$G$42=C48))</f>
        <v>0</v>
      </c>
      <c r="E48" s="44"/>
      <c r="F48" s="46"/>
      <c r="G48" s="42"/>
      <c r="H48" s="45"/>
      <c r="I48" s="46"/>
      <c r="J48" s="46"/>
      <c r="K48" s="46"/>
    </row>
    <row r="49" spans="1:11" ht="15.75" customHeight="1" x14ac:dyDescent="0.25">
      <c r="A49" s="42"/>
      <c r="B49" s="43"/>
      <c r="C49" s="53" t="s">
        <v>87</v>
      </c>
      <c r="D49" s="55"/>
      <c r="E49" s="44"/>
      <c r="F49" s="46"/>
      <c r="G49" s="42"/>
      <c r="H49" s="45"/>
      <c r="I49" s="46"/>
      <c r="J49" s="46"/>
      <c r="K49" s="46"/>
    </row>
    <row r="50" spans="1:11" ht="15.75" customHeight="1" x14ac:dyDescent="0.25">
      <c r="A50" s="42"/>
      <c r="B50" s="43"/>
      <c r="C50" s="3" t="s">
        <v>83</v>
      </c>
      <c r="D50" s="11">
        <f>SUMPRODUCT(($E$9:$E$42=$C$49)*($G$9:$G$42=C50))</f>
        <v>0</v>
      </c>
      <c r="E50" s="44"/>
      <c r="F50" s="46"/>
      <c r="G50" s="42"/>
      <c r="H50" s="45"/>
      <c r="I50" s="46"/>
      <c r="J50" s="46"/>
      <c r="K50" s="46"/>
    </row>
    <row r="51" spans="1:11" ht="15.75" customHeight="1" x14ac:dyDescent="0.25">
      <c r="A51" s="42"/>
      <c r="B51" s="43"/>
      <c r="C51" s="3" t="s">
        <v>84</v>
      </c>
      <c r="D51" s="11">
        <f>SUMPRODUCT(($E$9:$E$41=$C$49)*($G$9:$G$41=C51))</f>
        <v>0</v>
      </c>
      <c r="E51" s="44"/>
      <c r="F51" s="43"/>
      <c r="G51" s="42"/>
      <c r="H51" s="45"/>
      <c r="I51" s="46"/>
      <c r="J51" s="46"/>
      <c r="K51" s="46"/>
    </row>
    <row r="52" spans="1:11" ht="15.75" customHeight="1" x14ac:dyDescent="0.25">
      <c r="A52" s="42"/>
      <c r="B52" s="43"/>
      <c r="C52" s="3" t="s">
        <v>85</v>
      </c>
      <c r="D52" s="11">
        <f>SUMPRODUCT(($E$9:$E$41=$C$49)*($G$9:$G$41=C52))</f>
        <v>0</v>
      </c>
      <c r="E52" s="44"/>
      <c r="F52" s="43"/>
      <c r="G52" s="42"/>
      <c r="H52" s="45"/>
      <c r="I52" s="46"/>
      <c r="J52" s="46"/>
      <c r="K52" s="46"/>
    </row>
    <row r="53" spans="1:11" ht="15.75" customHeight="1" x14ac:dyDescent="0.25">
      <c r="A53" s="42"/>
      <c r="B53" s="43"/>
      <c r="C53" s="53" t="s">
        <v>88</v>
      </c>
      <c r="D53" s="55"/>
      <c r="E53" s="44"/>
      <c r="F53" s="43"/>
      <c r="G53" s="42"/>
      <c r="H53" s="45"/>
      <c r="I53" s="46"/>
      <c r="J53" s="46"/>
      <c r="K53" s="46"/>
    </row>
    <row r="54" spans="1:11" ht="15.75" customHeight="1" x14ac:dyDescent="0.25">
      <c r="A54" s="42"/>
      <c r="B54" s="43"/>
      <c r="C54" s="3" t="s">
        <v>83</v>
      </c>
      <c r="D54" s="11">
        <f>SUMPRODUCT(($E$9:$E$41=$C$53)*($G$9:$G$41=C54))</f>
        <v>0</v>
      </c>
      <c r="E54" s="44"/>
      <c r="F54" s="43"/>
      <c r="G54" s="42"/>
      <c r="H54" s="45"/>
      <c r="I54" s="46"/>
      <c r="J54" s="46"/>
      <c r="K54" s="46"/>
    </row>
    <row r="55" spans="1:11" ht="15.75" customHeight="1" x14ac:dyDescent="0.25">
      <c r="A55" s="42"/>
      <c r="B55" s="43"/>
      <c r="C55" s="3" t="s">
        <v>84</v>
      </c>
      <c r="D55" s="11">
        <f>SUMPRODUCT(($E$9:$E$41=$C$53)*($G$9:$G$41=C55))</f>
        <v>0</v>
      </c>
      <c r="E55" s="44"/>
      <c r="F55" s="43"/>
      <c r="G55" s="42"/>
      <c r="H55" s="45"/>
      <c r="I55" s="46"/>
      <c r="J55" s="46"/>
      <c r="K55" s="46"/>
    </row>
    <row r="56" spans="1:11" ht="15.75" customHeight="1" x14ac:dyDescent="0.25">
      <c r="A56" s="42"/>
      <c r="B56" s="43"/>
      <c r="C56" s="3" t="s">
        <v>85</v>
      </c>
      <c r="D56" s="11">
        <f>SUMPRODUCT(($E$9:$E$41=$C$53)*($G$9:$G$41=C56))</f>
        <v>0</v>
      </c>
      <c r="E56" s="44"/>
      <c r="F56" s="43"/>
      <c r="G56" s="42"/>
      <c r="H56" s="45"/>
      <c r="I56" s="46"/>
      <c r="J56" s="46"/>
      <c r="K56" s="46"/>
    </row>
    <row r="57" spans="1:11" ht="15.75" customHeight="1" x14ac:dyDescent="0.25">
      <c r="A57" s="42"/>
      <c r="B57" s="43"/>
      <c r="C57" s="56" t="s">
        <v>89</v>
      </c>
      <c r="D57" s="17">
        <f>SUM(D46:D56)</f>
        <v>29</v>
      </c>
      <c r="E57" s="44"/>
      <c r="F57" s="43"/>
      <c r="G57" s="42"/>
      <c r="H57" s="45"/>
      <c r="I57" s="46"/>
      <c r="J57" s="46"/>
      <c r="K57" s="46"/>
    </row>
    <row r="58" spans="1:11" ht="15.75" customHeight="1" x14ac:dyDescent="0.25">
      <c r="A58" s="42"/>
      <c r="B58" s="43"/>
      <c r="C58" s="42"/>
      <c r="D58" s="43"/>
      <c r="E58" s="44"/>
      <c r="F58" s="43"/>
      <c r="G58" s="42"/>
      <c r="H58" s="45"/>
      <c r="I58" s="46"/>
      <c r="J58" s="46"/>
      <c r="K58" s="46"/>
    </row>
    <row r="59" spans="1:11" ht="15.75" customHeight="1" x14ac:dyDescent="0.25">
      <c r="A59" s="42"/>
      <c r="B59" s="43" t="s">
        <v>90</v>
      </c>
      <c r="C59" s="42">
        <v>1</v>
      </c>
      <c r="D59" s="43"/>
      <c r="E59" s="44"/>
      <c r="F59" s="43"/>
      <c r="G59" s="42"/>
      <c r="H59" s="45"/>
      <c r="I59" s="46"/>
      <c r="J59" s="46"/>
      <c r="K59" s="46"/>
    </row>
    <row r="60" spans="1:11" ht="15.75" customHeight="1" x14ac:dyDescent="0.25">
      <c r="A60" s="42"/>
      <c r="B60" s="43" t="s">
        <v>91</v>
      </c>
      <c r="C60" s="42">
        <v>1</v>
      </c>
      <c r="D60" s="43"/>
      <c r="E60" s="44"/>
      <c r="F60" s="43"/>
      <c r="G60" s="42"/>
      <c r="H60" s="45"/>
      <c r="I60" s="46"/>
      <c r="J60" s="46"/>
      <c r="K60" s="46"/>
    </row>
    <row r="61" spans="1:11" ht="15.75" customHeight="1" x14ac:dyDescent="0.25">
      <c r="A61" s="42"/>
      <c r="B61" s="43"/>
      <c r="C61" s="42"/>
      <c r="D61" s="43"/>
      <c r="E61" s="44"/>
      <c r="F61" s="43"/>
      <c r="G61" s="42"/>
      <c r="H61" s="45"/>
      <c r="I61" s="46"/>
      <c r="J61" s="46"/>
      <c r="K61" s="46"/>
    </row>
    <row r="62" spans="1:11" ht="15.75" customHeight="1" x14ac:dyDescent="0.25">
      <c r="A62" s="42"/>
      <c r="B62" s="43"/>
      <c r="C62" s="42"/>
      <c r="D62" s="43"/>
      <c r="E62" s="44"/>
      <c r="F62" s="43"/>
      <c r="G62" s="42"/>
      <c r="H62" s="45"/>
      <c r="I62" s="46"/>
      <c r="J62" s="46"/>
      <c r="K62" s="46"/>
    </row>
    <row r="63" spans="1:11" ht="15.75" customHeight="1" x14ac:dyDescent="0.25">
      <c r="A63" s="42"/>
      <c r="B63" s="43"/>
      <c r="C63" s="44"/>
      <c r="D63" s="43"/>
      <c r="E63" s="42"/>
      <c r="F63" s="45"/>
      <c r="G63" s="42"/>
      <c r="H63" s="46"/>
      <c r="I63" s="46"/>
      <c r="J63" s="46"/>
      <c r="K63" s="46"/>
    </row>
    <row r="64" spans="1:11" ht="15.75" customHeight="1" x14ac:dyDescent="0.25">
      <c r="A64" s="42"/>
      <c r="B64" s="43"/>
      <c r="C64" s="44"/>
      <c r="D64" s="43"/>
      <c r="E64" s="42"/>
      <c r="F64" s="45"/>
      <c r="G64" s="42"/>
      <c r="H64" s="46"/>
      <c r="I64" s="46"/>
      <c r="J64" s="46"/>
      <c r="K64" s="46"/>
    </row>
    <row r="65" spans="1:11" ht="15.75" customHeight="1" x14ac:dyDescent="0.25">
      <c r="A65" s="42"/>
      <c r="B65" s="43"/>
      <c r="C65" s="42"/>
      <c r="D65" s="43"/>
      <c r="E65" s="44"/>
      <c r="F65" s="43"/>
      <c r="G65" s="42"/>
      <c r="H65" s="45"/>
      <c r="I65" s="46"/>
      <c r="J65" s="46"/>
      <c r="K65" s="46"/>
    </row>
    <row r="66" spans="1:11" ht="15.75" customHeight="1" x14ac:dyDescent="0.25">
      <c r="A66" s="42"/>
      <c r="B66" s="43"/>
      <c r="C66" s="42"/>
      <c r="D66" s="43"/>
      <c r="E66" s="44"/>
      <c r="F66" s="43"/>
      <c r="G66" s="42"/>
      <c r="H66" s="45"/>
      <c r="I66" s="46"/>
      <c r="J66" s="46"/>
      <c r="K66" s="46"/>
    </row>
    <row r="67" spans="1:11" ht="15.75" customHeight="1" x14ac:dyDescent="0.25">
      <c r="A67" s="42"/>
      <c r="B67" s="43"/>
      <c r="C67" s="42"/>
      <c r="D67" s="43"/>
      <c r="E67" s="44"/>
      <c r="F67" s="43"/>
      <c r="G67" s="42"/>
      <c r="H67" s="45"/>
      <c r="I67" s="46"/>
      <c r="J67" s="46"/>
      <c r="K67" s="46"/>
    </row>
    <row r="68" spans="1:11" ht="15.75" customHeight="1" x14ac:dyDescent="0.25">
      <c r="A68" s="42"/>
      <c r="B68" s="43"/>
      <c r="C68" s="42"/>
      <c r="D68" s="43"/>
      <c r="E68" s="44"/>
      <c r="F68" s="43"/>
      <c r="G68" s="42"/>
      <c r="H68" s="45"/>
      <c r="I68" s="46"/>
      <c r="J68" s="46"/>
      <c r="K68" s="46"/>
    </row>
    <row r="69" spans="1:11" ht="15.75" customHeight="1" x14ac:dyDescent="0.25">
      <c r="A69" s="42"/>
      <c r="B69" s="43"/>
      <c r="C69" s="42"/>
      <c r="D69" s="43"/>
      <c r="E69" s="44"/>
      <c r="F69" s="43"/>
      <c r="G69" s="42"/>
      <c r="H69" s="45"/>
      <c r="I69" s="46"/>
      <c r="J69" s="46"/>
      <c r="K69" s="46"/>
    </row>
    <row r="70" spans="1:11" ht="15.75" customHeight="1" x14ac:dyDescent="0.25">
      <c r="A70" s="42"/>
      <c r="B70" s="43"/>
      <c r="C70" s="42"/>
      <c r="D70" s="43"/>
      <c r="E70" s="44"/>
      <c r="F70" s="43"/>
      <c r="G70" s="42"/>
      <c r="H70" s="45"/>
      <c r="I70" s="46"/>
      <c r="J70" s="46"/>
      <c r="K70" s="46"/>
    </row>
    <row r="71" spans="1:11" ht="15.75" customHeight="1" x14ac:dyDescent="0.25">
      <c r="A71" s="42"/>
      <c r="B71" s="43"/>
      <c r="C71" s="42"/>
      <c r="D71" s="43"/>
      <c r="E71" s="44"/>
      <c r="F71" s="43"/>
      <c r="G71" s="42"/>
      <c r="H71" s="45"/>
      <c r="I71" s="46"/>
      <c r="J71" s="46"/>
      <c r="K71" s="46"/>
    </row>
    <row r="72" spans="1:11" ht="15.75" customHeight="1" x14ac:dyDescent="0.25">
      <c r="A72" s="42"/>
      <c r="B72" s="43"/>
      <c r="C72" s="42"/>
      <c r="D72" s="43"/>
      <c r="E72" s="44"/>
      <c r="F72" s="43"/>
      <c r="G72" s="42"/>
      <c r="H72" s="45"/>
      <c r="I72" s="46"/>
      <c r="J72" s="46"/>
      <c r="K72" s="46"/>
    </row>
    <row r="73" spans="1:11" ht="15.75" customHeight="1" x14ac:dyDescent="0.25">
      <c r="A73" s="42"/>
      <c r="B73" s="43"/>
      <c r="C73" s="42"/>
      <c r="D73" s="43"/>
      <c r="E73" s="44"/>
      <c r="F73" s="43"/>
      <c r="G73" s="42"/>
      <c r="H73" s="45"/>
      <c r="I73" s="46"/>
      <c r="J73" s="46"/>
      <c r="K73" s="46"/>
    </row>
    <row r="74" spans="1:11" ht="15.75" customHeight="1" x14ac:dyDescent="0.25">
      <c r="A74" s="42"/>
      <c r="B74" s="43"/>
      <c r="C74" s="42"/>
      <c r="D74" s="43"/>
      <c r="E74" s="44"/>
      <c r="F74" s="43"/>
      <c r="G74" s="42"/>
      <c r="H74" s="45"/>
      <c r="I74" s="46"/>
      <c r="J74" s="46"/>
      <c r="K74" s="46"/>
    </row>
    <row r="75" spans="1:11" ht="15.75" customHeight="1" x14ac:dyDescent="0.25">
      <c r="A75" s="42"/>
      <c r="B75" s="43"/>
      <c r="C75" s="42"/>
      <c r="D75" s="43"/>
      <c r="E75" s="44"/>
      <c r="F75" s="43"/>
      <c r="G75" s="42"/>
      <c r="H75" s="45"/>
      <c r="I75" s="46"/>
      <c r="J75" s="46"/>
      <c r="K75" s="46"/>
    </row>
    <row r="76" spans="1:11" ht="15.75" customHeight="1" x14ac:dyDescent="0.25">
      <c r="A76" s="42"/>
      <c r="B76" s="43"/>
      <c r="C76" s="42"/>
      <c r="D76" s="43"/>
      <c r="E76" s="44"/>
      <c r="F76" s="43"/>
      <c r="G76" s="42"/>
      <c r="H76" s="45"/>
      <c r="I76" s="46"/>
      <c r="J76" s="46"/>
      <c r="K76" s="46"/>
    </row>
    <row r="77" spans="1:11" ht="15.75" customHeight="1" x14ac:dyDescent="0.25">
      <c r="A77" s="42"/>
      <c r="B77" s="43"/>
      <c r="C77" s="42"/>
      <c r="D77" s="43"/>
      <c r="E77" s="44"/>
      <c r="F77" s="43"/>
      <c r="G77" s="42"/>
      <c r="H77" s="45"/>
      <c r="I77" s="46"/>
      <c r="J77" s="46"/>
      <c r="K77" s="46"/>
    </row>
    <row r="78" spans="1:11" ht="15.75" customHeight="1" x14ac:dyDescent="0.25">
      <c r="A78" s="42"/>
      <c r="B78" s="43"/>
      <c r="C78" s="42"/>
      <c r="D78" s="43"/>
      <c r="E78" s="44"/>
      <c r="F78" s="43"/>
      <c r="G78" s="42"/>
      <c r="H78" s="45"/>
      <c r="I78" s="46"/>
      <c r="J78" s="46"/>
      <c r="K78" s="46"/>
    </row>
    <row r="79" spans="1:11" ht="15.75" customHeight="1" x14ac:dyDescent="0.25">
      <c r="A79" s="42"/>
      <c r="B79" s="43"/>
      <c r="C79" s="42"/>
      <c r="D79" s="43"/>
      <c r="E79" s="44"/>
      <c r="F79" s="43"/>
      <c r="G79" s="42"/>
      <c r="H79" s="45"/>
      <c r="I79" s="46"/>
      <c r="J79" s="46"/>
      <c r="K79" s="46"/>
    </row>
    <row r="80" spans="1:11" ht="15.75" customHeight="1" x14ac:dyDescent="0.25">
      <c r="A80" s="42"/>
      <c r="B80" s="43"/>
      <c r="C80" s="42"/>
      <c r="D80" s="43"/>
      <c r="E80" s="44"/>
      <c r="F80" s="43"/>
      <c r="G80" s="42"/>
      <c r="H80" s="45"/>
      <c r="I80" s="46"/>
      <c r="J80" s="46"/>
      <c r="K80" s="46"/>
    </row>
    <row r="81" spans="1:11" ht="15.75" customHeight="1" x14ac:dyDescent="0.25">
      <c r="A81" s="42"/>
      <c r="B81" s="43"/>
      <c r="C81" s="42"/>
      <c r="D81" s="43"/>
      <c r="E81" s="44"/>
      <c r="F81" s="43"/>
      <c r="G81" s="42"/>
      <c r="H81" s="45"/>
      <c r="I81" s="46"/>
      <c r="J81" s="46"/>
      <c r="K81" s="46"/>
    </row>
    <row r="82" spans="1:11" ht="15.75" customHeight="1" x14ac:dyDescent="0.25">
      <c r="A82" s="42"/>
      <c r="B82" s="43"/>
      <c r="C82" s="42"/>
      <c r="D82" s="43"/>
      <c r="E82" s="44"/>
      <c r="F82" s="43"/>
      <c r="G82" s="42"/>
      <c r="H82" s="45"/>
      <c r="I82" s="46"/>
      <c r="J82" s="46"/>
      <c r="K82" s="46"/>
    </row>
    <row r="83" spans="1:11" ht="15.75" customHeight="1" x14ac:dyDescent="0.25">
      <c r="A83" s="42"/>
      <c r="B83" s="43"/>
      <c r="C83" s="42"/>
      <c r="D83" s="43"/>
      <c r="E83" s="44"/>
      <c r="F83" s="43"/>
      <c r="G83" s="42"/>
      <c r="H83" s="45"/>
      <c r="I83" s="46"/>
      <c r="J83" s="46"/>
      <c r="K83" s="46"/>
    </row>
    <row r="84" spans="1:11" ht="15.75" customHeight="1" x14ac:dyDescent="0.25">
      <c r="A84" s="42"/>
      <c r="B84" s="43"/>
      <c r="C84" s="42"/>
      <c r="D84" s="43"/>
      <c r="E84" s="44"/>
      <c r="F84" s="43"/>
      <c r="G84" s="42"/>
      <c r="H84" s="45"/>
      <c r="I84" s="46"/>
      <c r="J84" s="46"/>
      <c r="K84" s="46"/>
    </row>
    <row r="85" spans="1:11" ht="15.75" customHeight="1" x14ac:dyDescent="0.25">
      <c r="A85" s="42"/>
      <c r="B85" s="43"/>
      <c r="C85" s="42"/>
      <c r="D85" s="43"/>
      <c r="E85" s="44"/>
      <c r="F85" s="43"/>
      <c r="G85" s="42"/>
      <c r="H85" s="45"/>
      <c r="I85" s="46"/>
      <c r="J85" s="46"/>
      <c r="K85" s="46"/>
    </row>
    <row r="86" spans="1:11" ht="15.75" customHeight="1" x14ac:dyDescent="0.25">
      <c r="A86" s="42"/>
      <c r="B86" s="43"/>
      <c r="C86" s="42"/>
      <c r="D86" s="43"/>
      <c r="E86" s="44"/>
      <c r="F86" s="43"/>
      <c r="G86" s="42"/>
      <c r="H86" s="45"/>
      <c r="I86" s="46"/>
      <c r="J86" s="46"/>
      <c r="K86" s="46"/>
    </row>
    <row r="87" spans="1:11" ht="15.75" customHeight="1" x14ac:dyDescent="0.25">
      <c r="A87" s="42"/>
      <c r="B87" s="43"/>
      <c r="C87" s="42"/>
      <c r="D87" s="43"/>
      <c r="E87" s="44"/>
      <c r="F87" s="43"/>
      <c r="G87" s="42"/>
      <c r="H87" s="45"/>
      <c r="I87" s="46"/>
      <c r="J87" s="46"/>
      <c r="K87" s="46"/>
    </row>
    <row r="88" spans="1:11" ht="15.75" customHeight="1" x14ac:dyDescent="0.25">
      <c r="A88" s="42"/>
      <c r="B88" s="43"/>
      <c r="C88" s="42"/>
      <c r="D88" s="43"/>
      <c r="E88" s="44"/>
      <c r="F88" s="43"/>
      <c r="G88" s="42"/>
      <c r="H88" s="45"/>
      <c r="I88" s="46"/>
      <c r="J88" s="46"/>
      <c r="K88" s="46"/>
    </row>
    <row r="89" spans="1:11" ht="15.75" customHeight="1" x14ac:dyDescent="0.25">
      <c r="A89" s="42"/>
      <c r="B89" s="43"/>
      <c r="C89" s="42"/>
      <c r="D89" s="43"/>
      <c r="E89" s="44"/>
      <c r="F89" s="43"/>
      <c r="G89" s="42"/>
      <c r="H89" s="45"/>
      <c r="I89" s="46"/>
      <c r="J89" s="46"/>
      <c r="K89" s="46"/>
    </row>
    <row r="90" spans="1:11" ht="15.75" customHeight="1" x14ac:dyDescent="0.25">
      <c r="A90" s="42"/>
      <c r="B90" s="43"/>
      <c r="C90" s="42"/>
      <c r="D90" s="43"/>
      <c r="E90" s="44"/>
      <c r="F90" s="43"/>
      <c r="G90" s="42"/>
      <c r="H90" s="45"/>
      <c r="I90" s="46"/>
      <c r="J90" s="46"/>
      <c r="K90" s="46"/>
    </row>
    <row r="91" spans="1:11" ht="15.75" customHeight="1" x14ac:dyDescent="0.25">
      <c r="A91" s="42"/>
      <c r="B91" s="43"/>
      <c r="C91" s="42"/>
      <c r="D91" s="43"/>
      <c r="E91" s="44"/>
      <c r="F91" s="43"/>
      <c r="G91" s="42"/>
      <c r="H91" s="45"/>
      <c r="I91" s="46"/>
      <c r="J91" s="46"/>
      <c r="K91" s="46"/>
    </row>
    <row r="92" spans="1:11" ht="15.75" customHeight="1" x14ac:dyDescent="0.25">
      <c r="A92" s="42"/>
      <c r="B92" s="43"/>
      <c r="C92" s="42"/>
      <c r="D92" s="43"/>
      <c r="E92" s="44"/>
      <c r="F92" s="43"/>
      <c r="G92" s="42"/>
      <c r="H92" s="45"/>
      <c r="I92" s="46"/>
      <c r="J92" s="46"/>
      <c r="K92" s="46"/>
    </row>
    <row r="93" spans="1:11" ht="15.75" customHeight="1" x14ac:dyDescent="0.25">
      <c r="A93" s="42"/>
      <c r="B93" s="43"/>
      <c r="C93" s="42"/>
      <c r="D93" s="43"/>
      <c r="E93" s="44"/>
      <c r="F93" s="43"/>
      <c r="G93" s="42"/>
      <c r="H93" s="45"/>
      <c r="I93" s="46"/>
      <c r="J93" s="46"/>
      <c r="K93" s="46"/>
    </row>
    <row r="94" spans="1:11" ht="15.75" customHeight="1" x14ac:dyDescent="0.25">
      <c r="A94" s="42"/>
      <c r="B94" s="43"/>
      <c r="C94" s="42"/>
      <c r="D94" s="43"/>
      <c r="E94" s="44"/>
      <c r="F94" s="43"/>
      <c r="G94" s="42"/>
      <c r="H94" s="45"/>
      <c r="I94" s="46"/>
      <c r="J94" s="46"/>
      <c r="K94" s="46"/>
    </row>
    <row r="95" spans="1:11" ht="15.75" customHeight="1" x14ac:dyDescent="0.25">
      <c r="A95" s="42"/>
      <c r="B95" s="43"/>
      <c r="C95" s="42"/>
      <c r="D95" s="43"/>
      <c r="E95" s="44"/>
      <c r="F95" s="43"/>
      <c r="G95" s="42"/>
      <c r="H95" s="45"/>
      <c r="I95" s="46"/>
      <c r="J95" s="46"/>
      <c r="K95" s="46"/>
    </row>
    <row r="96" spans="1:11" ht="15.75" customHeight="1" x14ac:dyDescent="0.25">
      <c r="A96" s="42"/>
      <c r="B96" s="43"/>
      <c r="C96" s="42"/>
      <c r="D96" s="43"/>
      <c r="E96" s="44"/>
      <c r="F96" s="43"/>
      <c r="G96" s="42"/>
      <c r="H96" s="45"/>
      <c r="I96" s="46"/>
      <c r="J96" s="46"/>
      <c r="K96" s="46"/>
    </row>
    <row r="97" spans="1:11" ht="15.75" customHeight="1" x14ac:dyDescent="0.25">
      <c r="A97" s="42"/>
      <c r="B97" s="43"/>
      <c r="C97" s="42"/>
      <c r="D97" s="43"/>
      <c r="E97" s="44"/>
      <c r="F97" s="43"/>
      <c r="G97" s="42"/>
      <c r="H97" s="45"/>
      <c r="I97" s="46"/>
      <c r="J97" s="46"/>
      <c r="K97" s="46"/>
    </row>
    <row r="98" spans="1:11" ht="15.75" customHeight="1" x14ac:dyDescent="0.25">
      <c r="A98" s="42"/>
      <c r="B98" s="43"/>
      <c r="C98" s="42"/>
      <c r="D98" s="43"/>
      <c r="E98" s="44"/>
      <c r="F98" s="43"/>
      <c r="G98" s="42"/>
      <c r="H98" s="45"/>
      <c r="I98" s="46"/>
      <c r="J98" s="46"/>
      <c r="K98" s="46"/>
    </row>
    <row r="99" spans="1:11" ht="15.75" customHeight="1" x14ac:dyDescent="0.25">
      <c r="A99" s="42"/>
      <c r="B99" s="43"/>
      <c r="C99" s="42"/>
      <c r="D99" s="43"/>
      <c r="E99" s="44"/>
      <c r="F99" s="43"/>
      <c r="G99" s="42"/>
      <c r="H99" s="45"/>
      <c r="I99" s="46"/>
      <c r="J99" s="46"/>
      <c r="K99" s="46"/>
    </row>
    <row r="100" spans="1:11" ht="15.75" customHeight="1" x14ac:dyDescent="0.25">
      <c r="A100" s="42"/>
      <c r="B100" s="43"/>
      <c r="C100" s="42"/>
      <c r="D100" s="43"/>
      <c r="E100" s="44"/>
      <c r="F100" s="43"/>
      <c r="G100" s="42"/>
      <c r="H100" s="45"/>
      <c r="I100" s="46"/>
      <c r="J100" s="46"/>
      <c r="K100" s="46"/>
    </row>
    <row r="101" spans="1:11" ht="15.75" customHeight="1" x14ac:dyDescent="0.25">
      <c r="A101" s="42"/>
      <c r="B101" s="43"/>
      <c r="C101" s="42"/>
      <c r="D101" s="43"/>
      <c r="E101" s="44"/>
      <c r="F101" s="43"/>
      <c r="G101" s="42"/>
      <c r="H101" s="45"/>
      <c r="I101" s="46"/>
      <c r="J101" s="46"/>
      <c r="K101" s="46"/>
    </row>
    <row r="102" spans="1:11" ht="15.75" customHeight="1" x14ac:dyDescent="0.25">
      <c r="A102" s="42"/>
      <c r="B102" s="43"/>
      <c r="C102" s="42"/>
      <c r="D102" s="43"/>
      <c r="E102" s="44"/>
      <c r="F102" s="43"/>
      <c r="G102" s="42"/>
      <c r="H102" s="45"/>
      <c r="I102" s="46"/>
      <c r="J102" s="46"/>
      <c r="K102" s="46"/>
    </row>
    <row r="103" spans="1:11" ht="15.75" customHeight="1" x14ac:dyDescent="0.25">
      <c r="A103" s="42"/>
      <c r="B103" s="43"/>
      <c r="C103" s="42"/>
      <c r="D103" s="43"/>
      <c r="E103" s="44"/>
      <c r="F103" s="43"/>
      <c r="G103" s="42"/>
      <c r="H103" s="45"/>
      <c r="I103" s="46"/>
      <c r="J103" s="46"/>
      <c r="K103" s="46"/>
    </row>
    <row r="104" spans="1:11" ht="15.75" customHeight="1" x14ac:dyDescent="0.25">
      <c r="A104" s="42"/>
      <c r="B104" s="43"/>
      <c r="C104" s="42"/>
      <c r="D104" s="43"/>
      <c r="E104" s="44"/>
      <c r="F104" s="43"/>
      <c r="G104" s="42"/>
      <c r="H104" s="45"/>
      <c r="I104" s="46"/>
      <c r="J104" s="46"/>
      <c r="K104" s="46"/>
    </row>
    <row r="105" spans="1:11" ht="15.75" customHeight="1" x14ac:dyDescent="0.25">
      <c r="A105" s="42"/>
      <c r="B105" s="43"/>
      <c r="C105" s="42"/>
      <c r="D105" s="43"/>
      <c r="E105" s="44"/>
      <c r="F105" s="43"/>
      <c r="G105" s="42"/>
      <c r="H105" s="45"/>
      <c r="I105" s="46"/>
      <c r="J105" s="46"/>
      <c r="K105" s="46"/>
    </row>
    <row r="106" spans="1:11" ht="15.75" customHeight="1" x14ac:dyDescent="0.25">
      <c r="A106" s="42"/>
      <c r="B106" s="43"/>
      <c r="C106" s="42"/>
      <c r="D106" s="43"/>
      <c r="E106" s="44"/>
      <c r="F106" s="43"/>
      <c r="G106" s="42"/>
      <c r="H106" s="45"/>
      <c r="I106" s="46"/>
      <c r="J106" s="46"/>
      <c r="K106" s="46"/>
    </row>
    <row r="107" spans="1:11" ht="15.75" customHeight="1" x14ac:dyDescent="0.25">
      <c r="A107" s="42"/>
      <c r="B107" s="43"/>
      <c r="C107" s="42"/>
      <c r="D107" s="43"/>
      <c r="E107" s="44"/>
      <c r="F107" s="43"/>
      <c r="G107" s="42"/>
      <c r="H107" s="45"/>
      <c r="I107" s="46"/>
      <c r="J107" s="46"/>
      <c r="K107" s="46"/>
    </row>
    <row r="108" spans="1:11" ht="15.75" customHeight="1" x14ac:dyDescent="0.25">
      <c r="A108" s="42"/>
      <c r="B108" s="43"/>
      <c r="C108" s="42"/>
      <c r="D108" s="43"/>
      <c r="E108" s="44"/>
      <c r="F108" s="43"/>
      <c r="G108" s="42"/>
      <c r="H108" s="45"/>
      <c r="I108" s="46"/>
      <c r="J108" s="46"/>
      <c r="K108" s="46"/>
    </row>
    <row r="109" spans="1:11" ht="15.75" customHeight="1" x14ac:dyDescent="0.25">
      <c r="A109" s="42"/>
      <c r="B109" s="43"/>
      <c r="C109" s="42"/>
      <c r="D109" s="43"/>
      <c r="E109" s="44"/>
      <c r="F109" s="43"/>
      <c r="G109" s="42"/>
      <c r="H109" s="45"/>
      <c r="I109" s="46"/>
      <c r="J109" s="46"/>
      <c r="K109" s="46"/>
    </row>
    <row r="110" spans="1:11" ht="15.75" customHeight="1" x14ac:dyDescent="0.25">
      <c r="A110" s="42"/>
      <c r="B110" s="43"/>
      <c r="C110" s="42"/>
      <c r="D110" s="43"/>
      <c r="E110" s="44"/>
      <c r="F110" s="43"/>
      <c r="G110" s="42"/>
      <c r="H110" s="45"/>
      <c r="I110" s="46"/>
      <c r="J110" s="46"/>
      <c r="K110" s="46"/>
    </row>
    <row r="111" spans="1:11" ht="15.75" customHeight="1" x14ac:dyDescent="0.25">
      <c r="A111" s="42"/>
      <c r="B111" s="43"/>
      <c r="C111" s="42"/>
      <c r="D111" s="43"/>
      <c r="E111" s="44"/>
      <c r="F111" s="43"/>
      <c r="G111" s="42"/>
      <c r="H111" s="45"/>
      <c r="I111" s="46"/>
      <c r="J111" s="46"/>
      <c r="K111" s="46"/>
    </row>
    <row r="112" spans="1:11" ht="15.75" customHeight="1" x14ac:dyDescent="0.25">
      <c r="A112" s="42"/>
      <c r="B112" s="43"/>
      <c r="C112" s="42"/>
      <c r="D112" s="43"/>
      <c r="E112" s="44"/>
      <c r="F112" s="43"/>
      <c r="G112" s="42"/>
      <c r="H112" s="45"/>
      <c r="I112" s="46"/>
      <c r="J112" s="46"/>
      <c r="K112" s="46"/>
    </row>
    <row r="113" spans="1:11" ht="15.75" customHeight="1" x14ac:dyDescent="0.25">
      <c r="A113" s="42"/>
      <c r="B113" s="43"/>
      <c r="C113" s="42"/>
      <c r="D113" s="43"/>
      <c r="E113" s="44"/>
      <c r="F113" s="43"/>
      <c r="G113" s="42"/>
      <c r="H113" s="45"/>
      <c r="I113" s="46"/>
      <c r="J113" s="46"/>
      <c r="K113" s="46"/>
    </row>
    <row r="114" spans="1:11" ht="15.75" customHeight="1" x14ac:dyDescent="0.25">
      <c r="A114" s="42"/>
      <c r="B114" s="43"/>
      <c r="C114" s="42"/>
      <c r="D114" s="43"/>
      <c r="E114" s="44"/>
      <c r="F114" s="43"/>
      <c r="G114" s="42"/>
      <c r="H114" s="45"/>
      <c r="I114" s="46"/>
      <c r="J114" s="46"/>
      <c r="K114" s="46"/>
    </row>
    <row r="115" spans="1:11" ht="15.75" customHeight="1" x14ac:dyDescent="0.25">
      <c r="A115" s="42"/>
      <c r="B115" s="43"/>
      <c r="C115" s="42"/>
      <c r="D115" s="43"/>
      <c r="E115" s="44"/>
      <c r="F115" s="43"/>
      <c r="G115" s="42"/>
      <c r="H115" s="45"/>
      <c r="I115" s="46"/>
      <c r="J115" s="46"/>
      <c r="K115" s="46"/>
    </row>
    <row r="116" spans="1:11" ht="15.75" customHeight="1" x14ac:dyDescent="0.25">
      <c r="A116" s="42"/>
      <c r="B116" s="43"/>
      <c r="C116" s="42"/>
      <c r="D116" s="43"/>
      <c r="E116" s="44"/>
      <c r="F116" s="43"/>
      <c r="G116" s="42"/>
      <c r="H116" s="45"/>
      <c r="I116" s="46"/>
      <c r="J116" s="46"/>
      <c r="K116" s="46"/>
    </row>
    <row r="117" spans="1:11" ht="15.75" customHeight="1" x14ac:dyDescent="0.25">
      <c r="A117" s="42"/>
      <c r="B117" s="43"/>
      <c r="C117" s="42"/>
      <c r="D117" s="43"/>
      <c r="E117" s="44"/>
      <c r="F117" s="43"/>
      <c r="G117" s="42"/>
      <c r="H117" s="45"/>
      <c r="I117" s="46"/>
      <c r="J117" s="46"/>
      <c r="K117" s="46"/>
    </row>
    <row r="118" spans="1:11" ht="15.75" customHeight="1" x14ac:dyDescent="0.25">
      <c r="A118" s="42"/>
      <c r="B118" s="43"/>
      <c r="C118" s="42"/>
      <c r="D118" s="43"/>
      <c r="E118" s="44"/>
      <c r="F118" s="43"/>
      <c r="G118" s="42"/>
      <c r="H118" s="45"/>
      <c r="I118" s="46"/>
      <c r="J118" s="46"/>
      <c r="K118" s="46"/>
    </row>
    <row r="119" spans="1:11" ht="15.75" customHeight="1" x14ac:dyDescent="0.25">
      <c r="A119" s="42"/>
      <c r="B119" s="43"/>
      <c r="C119" s="42"/>
      <c r="D119" s="43"/>
      <c r="E119" s="44"/>
      <c r="F119" s="43"/>
      <c r="G119" s="42"/>
      <c r="H119" s="45"/>
      <c r="I119" s="46"/>
      <c r="J119" s="46"/>
      <c r="K119" s="46"/>
    </row>
    <row r="120" spans="1:11" ht="15.75" customHeight="1" x14ac:dyDescent="0.25">
      <c r="A120" s="42"/>
      <c r="B120" s="43"/>
      <c r="C120" s="42"/>
      <c r="D120" s="43"/>
      <c r="E120" s="44"/>
      <c r="F120" s="43"/>
      <c r="G120" s="42"/>
      <c r="H120" s="45"/>
      <c r="I120" s="46"/>
      <c r="J120" s="46"/>
      <c r="K120" s="46"/>
    </row>
    <row r="121" spans="1:11" ht="15.75" customHeight="1" x14ac:dyDescent="0.25">
      <c r="A121" s="42"/>
      <c r="B121" s="43"/>
      <c r="C121" s="42"/>
      <c r="D121" s="43"/>
      <c r="E121" s="44"/>
      <c r="F121" s="43"/>
      <c r="G121" s="42"/>
      <c r="H121" s="45"/>
      <c r="I121" s="46"/>
      <c r="J121" s="46"/>
      <c r="K121" s="46"/>
    </row>
    <row r="122" spans="1:11" ht="15.75" customHeight="1" x14ac:dyDescent="0.25">
      <c r="A122" s="42"/>
      <c r="B122" s="43"/>
      <c r="C122" s="42"/>
      <c r="D122" s="43"/>
      <c r="E122" s="44"/>
      <c r="F122" s="43"/>
      <c r="G122" s="42"/>
      <c r="H122" s="45"/>
      <c r="I122" s="46"/>
      <c r="J122" s="46"/>
      <c r="K122" s="46"/>
    </row>
    <row r="123" spans="1:11" ht="15.75" customHeight="1" x14ac:dyDescent="0.25">
      <c r="A123" s="42"/>
      <c r="B123" s="43"/>
      <c r="C123" s="42"/>
      <c r="D123" s="43"/>
      <c r="E123" s="44"/>
      <c r="F123" s="43"/>
      <c r="G123" s="42"/>
      <c r="H123" s="45"/>
      <c r="I123" s="46"/>
      <c r="J123" s="46"/>
      <c r="K123" s="46"/>
    </row>
  </sheetData>
  <mergeCells count="7">
    <mergeCell ref="A38:G38"/>
    <mergeCell ref="A5:G5"/>
    <mergeCell ref="A6:G6"/>
    <mergeCell ref="A9:G9"/>
    <mergeCell ref="A15:G15"/>
    <mergeCell ref="A35:G35"/>
    <mergeCell ref="A22:G22"/>
  </mergeCells>
  <dataValidations xWindow="1481" yWindow="426" count="1">
    <dataValidation type="list" allowBlank="1" showInputMessage="1" showErrorMessage="1" prompt=" - " sqref="G39:G42 G16:G34 G10:G14 G36:G37" xr:uid="{00000000-0002-0000-0200-000000000000}">
      <formula1>$C$46:$C$48</formula1>
    </dataValidation>
  </dataValidations>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CFFFF"/>
  </sheetPr>
  <dimension ref="A1:K100"/>
  <sheetViews>
    <sheetView workbookViewId="0">
      <selection activeCell="D14" sqref="D14"/>
    </sheetView>
  </sheetViews>
  <sheetFormatPr defaultColWidth="14.42578125" defaultRowHeight="15" customHeight="1" x14ac:dyDescent="0.25"/>
  <cols>
    <col min="1" max="1" width="5.7109375" customWidth="1"/>
    <col min="2" max="2" width="17.42578125" customWidth="1"/>
    <col min="3" max="3" width="13" customWidth="1"/>
    <col min="4" max="4" width="13.28515625" customWidth="1"/>
    <col min="5" max="5" width="12.140625" customWidth="1"/>
    <col min="6" max="6" width="14.7109375" customWidth="1"/>
    <col min="7" max="7" width="60.5703125" customWidth="1"/>
    <col min="8" max="11" width="8" customWidth="1"/>
  </cols>
  <sheetData>
    <row r="1" spans="1:11" ht="15.75" customHeight="1" x14ac:dyDescent="0.25">
      <c r="A1" s="1" t="str">
        <f>'3.Tổng hợp chi phí phần mềm'!A1</f>
        <v>VIỄN THÔNG KHÁNH HÒA</v>
      </c>
      <c r="B1" s="4"/>
      <c r="C1" s="4"/>
      <c r="D1" s="4"/>
      <c r="E1" s="4"/>
      <c r="F1" s="5"/>
      <c r="G1" s="5"/>
      <c r="H1" s="5"/>
      <c r="I1" s="5"/>
      <c r="J1" s="5"/>
      <c r="K1" s="5"/>
    </row>
    <row r="2" spans="1:11" ht="15.75" customHeight="1" x14ac:dyDescent="0.25">
      <c r="A2" s="1" t="str">
        <f>'3.Tổng hợp chi phí phần mềm'!A2</f>
        <v>TRUNG TÂM CÔNG NGHỆ THÔNG TIN</v>
      </c>
      <c r="B2" s="4"/>
      <c r="C2" s="4"/>
      <c r="D2" s="4"/>
      <c r="E2" s="4"/>
      <c r="F2" s="5"/>
      <c r="G2" s="5"/>
      <c r="H2" s="5"/>
      <c r="I2" s="5"/>
      <c r="J2" s="5"/>
      <c r="K2" s="5"/>
    </row>
    <row r="3" spans="1:11" ht="15.75" customHeight="1" x14ac:dyDescent="0.25">
      <c r="A3" s="5"/>
      <c r="B3" s="5"/>
      <c r="C3" s="5"/>
      <c r="D3" s="5"/>
      <c r="E3" s="5"/>
      <c r="F3" s="5"/>
      <c r="G3" s="5"/>
      <c r="H3" s="5"/>
      <c r="I3" s="5"/>
      <c r="J3" s="5"/>
      <c r="K3" s="5"/>
    </row>
    <row r="4" spans="1:11" ht="15.75" customHeight="1" x14ac:dyDescent="0.25">
      <c r="A4" s="5"/>
      <c r="B4" s="5"/>
      <c r="C4" s="5"/>
      <c r="D4" s="5"/>
      <c r="E4" s="5"/>
      <c r="F4" s="5"/>
      <c r="G4" s="5"/>
      <c r="H4" s="5"/>
      <c r="I4" s="5"/>
      <c r="J4" s="5"/>
      <c r="K4" s="5"/>
    </row>
    <row r="5" spans="1:11" ht="27" customHeight="1" x14ac:dyDescent="0.25">
      <c r="A5" s="280" t="s">
        <v>92</v>
      </c>
      <c r="B5" s="281"/>
      <c r="C5" s="281"/>
      <c r="D5" s="281"/>
      <c r="E5" s="281"/>
      <c r="F5" s="281"/>
      <c r="G5" s="281"/>
      <c r="H5" s="5"/>
      <c r="I5" s="5"/>
      <c r="J5" s="5"/>
      <c r="K5" s="5"/>
    </row>
    <row r="6" spans="1:11" ht="27" customHeight="1" x14ac:dyDescent="0.25">
      <c r="A6" s="282" t="str">
        <f>'3.Tổng hợp chi phí phần mềm'!A6:F6</f>
        <v>Phần mềm Hệ thống thông tin báo cáo - Sở Du lịch KHA</v>
      </c>
      <c r="B6" s="281"/>
      <c r="C6" s="281"/>
      <c r="D6" s="281"/>
      <c r="E6" s="281"/>
      <c r="F6" s="281"/>
      <c r="G6" s="281"/>
      <c r="H6" s="5"/>
      <c r="I6" s="5"/>
      <c r="J6" s="5"/>
      <c r="K6" s="5"/>
    </row>
    <row r="7" spans="1:11" ht="15.75" customHeight="1" x14ac:dyDescent="0.25">
      <c r="A7" s="5"/>
      <c r="B7" s="5"/>
      <c r="C7" s="5"/>
      <c r="D7" s="5"/>
      <c r="E7" s="5"/>
      <c r="F7" s="5"/>
      <c r="G7" s="5"/>
      <c r="H7" s="5"/>
      <c r="I7" s="5"/>
      <c r="J7" s="5"/>
      <c r="K7" s="5"/>
    </row>
    <row r="8" spans="1:11" ht="69" customHeight="1" x14ac:dyDescent="0.25">
      <c r="A8" s="8" t="s">
        <v>16</v>
      </c>
      <c r="B8" s="8" t="s">
        <v>93</v>
      </c>
      <c r="C8" s="8" t="s">
        <v>94</v>
      </c>
      <c r="D8" s="8" t="s">
        <v>95</v>
      </c>
      <c r="E8" s="8" t="s">
        <v>96</v>
      </c>
      <c r="F8" s="8" t="s">
        <v>97</v>
      </c>
      <c r="G8" s="8" t="s">
        <v>98</v>
      </c>
      <c r="H8" s="5"/>
      <c r="I8" s="5"/>
      <c r="J8" s="5"/>
      <c r="K8" s="5"/>
    </row>
    <row r="9" spans="1:11" ht="27" customHeight="1" x14ac:dyDescent="0.25">
      <c r="A9" s="34">
        <v>1</v>
      </c>
      <c r="B9" s="57" t="s">
        <v>82</v>
      </c>
      <c r="C9" s="9"/>
      <c r="D9" s="9"/>
      <c r="E9" s="9"/>
      <c r="F9" s="9"/>
      <c r="G9" s="294" t="s">
        <v>99</v>
      </c>
      <c r="H9" s="5"/>
      <c r="I9" s="5"/>
      <c r="J9" s="5"/>
      <c r="K9" s="5"/>
    </row>
    <row r="10" spans="1:11" ht="27" customHeight="1" x14ac:dyDescent="0.25">
      <c r="A10" s="293"/>
      <c r="B10" s="9" t="s">
        <v>83</v>
      </c>
      <c r="C10" s="13">
        <f>'USE-CASE'!D46</f>
        <v>6</v>
      </c>
      <c r="D10" s="58">
        <v>5</v>
      </c>
      <c r="E10" s="59">
        <v>1</v>
      </c>
      <c r="F10" s="60">
        <f t="shared" ref="F10:F12" si="0">C10*D10*E10</f>
        <v>30</v>
      </c>
      <c r="G10" s="284"/>
      <c r="H10" s="5"/>
      <c r="I10" s="5"/>
      <c r="J10" s="5"/>
      <c r="K10" s="5"/>
    </row>
    <row r="11" spans="1:11" ht="27" customHeight="1" x14ac:dyDescent="0.25">
      <c r="A11" s="284"/>
      <c r="B11" s="9" t="s">
        <v>84</v>
      </c>
      <c r="C11" s="13">
        <f>'USE-CASE'!D47</f>
        <v>23</v>
      </c>
      <c r="D11" s="58">
        <v>10</v>
      </c>
      <c r="E11" s="59">
        <v>1</v>
      </c>
      <c r="F11" s="60">
        <f t="shared" si="0"/>
        <v>230</v>
      </c>
      <c r="G11" s="284"/>
      <c r="H11" s="5"/>
      <c r="I11" s="5"/>
      <c r="J11" s="5"/>
      <c r="K11" s="5"/>
    </row>
    <row r="12" spans="1:11" ht="27" customHeight="1" x14ac:dyDescent="0.25">
      <c r="A12" s="285"/>
      <c r="B12" s="9" t="s">
        <v>85</v>
      </c>
      <c r="C12" s="13">
        <f>'USE-CASE'!D48</f>
        <v>0</v>
      </c>
      <c r="D12" s="58">
        <v>15</v>
      </c>
      <c r="E12" s="59">
        <v>1</v>
      </c>
      <c r="F12" s="60">
        <f t="shared" si="0"/>
        <v>0</v>
      </c>
      <c r="G12" s="285"/>
      <c r="H12" s="5"/>
      <c r="I12" s="5"/>
      <c r="J12" s="5"/>
      <c r="K12" s="5"/>
    </row>
    <row r="13" spans="1:11" ht="27" customHeight="1" x14ac:dyDescent="0.25">
      <c r="A13" s="34">
        <v>2</v>
      </c>
      <c r="B13" s="57" t="s">
        <v>87</v>
      </c>
      <c r="C13" s="58"/>
      <c r="D13" s="58"/>
      <c r="E13" s="59"/>
      <c r="F13" s="60"/>
      <c r="G13" s="294" t="s">
        <v>100</v>
      </c>
      <c r="H13" s="5"/>
      <c r="I13" s="5"/>
      <c r="J13" s="5"/>
      <c r="K13" s="5"/>
    </row>
    <row r="14" spans="1:11" ht="27" customHeight="1" x14ac:dyDescent="0.25">
      <c r="A14" s="293"/>
      <c r="B14" s="9" t="s">
        <v>83</v>
      </c>
      <c r="C14" s="13">
        <f>'USE-CASE'!D50</f>
        <v>0</v>
      </c>
      <c r="D14" s="58">
        <v>5</v>
      </c>
      <c r="E14" s="59">
        <v>1.2</v>
      </c>
      <c r="F14" s="60">
        <f t="shared" ref="F14:F16" si="1">C14*D14*E14</f>
        <v>0</v>
      </c>
      <c r="G14" s="284"/>
      <c r="H14" s="5"/>
      <c r="I14" s="5"/>
      <c r="J14" s="5"/>
      <c r="K14" s="5"/>
    </row>
    <row r="15" spans="1:11" ht="27" customHeight="1" x14ac:dyDescent="0.25">
      <c r="A15" s="284"/>
      <c r="B15" s="9" t="s">
        <v>84</v>
      </c>
      <c r="C15" s="13">
        <f>'USE-CASE'!D51</f>
        <v>0</v>
      </c>
      <c r="D15" s="58">
        <v>10</v>
      </c>
      <c r="E15" s="59">
        <v>1.2</v>
      </c>
      <c r="F15" s="60">
        <f t="shared" si="1"/>
        <v>0</v>
      </c>
      <c r="G15" s="284"/>
      <c r="H15" s="5"/>
      <c r="I15" s="5"/>
      <c r="J15" s="5"/>
      <c r="K15" s="5"/>
    </row>
    <row r="16" spans="1:11" ht="27" customHeight="1" x14ac:dyDescent="0.25">
      <c r="A16" s="285"/>
      <c r="B16" s="9" t="s">
        <v>85</v>
      </c>
      <c r="C16" s="13">
        <f>'USE-CASE'!D52</f>
        <v>0</v>
      </c>
      <c r="D16" s="58">
        <v>15</v>
      </c>
      <c r="E16" s="59">
        <v>1.2</v>
      </c>
      <c r="F16" s="60">
        <f t="shared" si="1"/>
        <v>0</v>
      </c>
      <c r="G16" s="285"/>
      <c r="H16" s="5"/>
      <c r="I16" s="5"/>
      <c r="J16" s="5"/>
      <c r="K16" s="5"/>
    </row>
    <row r="17" spans="1:11" ht="27" customHeight="1" x14ac:dyDescent="0.25">
      <c r="A17" s="34">
        <v>3</v>
      </c>
      <c r="B17" s="57" t="s">
        <v>88</v>
      </c>
      <c r="C17" s="58"/>
      <c r="D17" s="58"/>
      <c r="E17" s="59"/>
      <c r="F17" s="60"/>
      <c r="G17" s="294" t="s">
        <v>101</v>
      </c>
      <c r="H17" s="5"/>
      <c r="I17" s="5"/>
      <c r="J17" s="5"/>
      <c r="K17" s="5"/>
    </row>
    <row r="18" spans="1:11" ht="27" customHeight="1" x14ac:dyDescent="0.25">
      <c r="A18" s="293"/>
      <c r="B18" s="9" t="s">
        <v>83</v>
      </c>
      <c r="C18" s="13">
        <f>'USE-CASE'!D54</f>
        <v>0</v>
      </c>
      <c r="D18" s="58">
        <v>5</v>
      </c>
      <c r="E18" s="59">
        <v>1.5</v>
      </c>
      <c r="F18" s="60">
        <f t="shared" ref="F18:F20" si="2">C18*D18*E18</f>
        <v>0</v>
      </c>
      <c r="G18" s="284"/>
      <c r="H18" s="5"/>
      <c r="I18" s="5"/>
      <c r="J18" s="5"/>
      <c r="K18" s="5"/>
    </row>
    <row r="19" spans="1:11" ht="27" customHeight="1" x14ac:dyDescent="0.25">
      <c r="A19" s="284"/>
      <c r="B19" s="9" t="s">
        <v>84</v>
      </c>
      <c r="C19" s="13">
        <f>'USE-CASE'!D55</f>
        <v>0</v>
      </c>
      <c r="D19" s="58">
        <v>10</v>
      </c>
      <c r="E19" s="59">
        <v>1.5</v>
      </c>
      <c r="F19" s="60">
        <f t="shared" si="2"/>
        <v>0</v>
      </c>
      <c r="G19" s="284"/>
      <c r="H19" s="5"/>
      <c r="I19" s="5"/>
      <c r="J19" s="5"/>
      <c r="K19" s="5"/>
    </row>
    <row r="20" spans="1:11" ht="27" customHeight="1" x14ac:dyDescent="0.25">
      <c r="A20" s="285"/>
      <c r="B20" s="9" t="s">
        <v>85</v>
      </c>
      <c r="C20" s="13">
        <f>'USE-CASE'!D56</f>
        <v>0</v>
      </c>
      <c r="D20" s="58">
        <v>15</v>
      </c>
      <c r="E20" s="59">
        <v>1.5</v>
      </c>
      <c r="F20" s="60">
        <f t="shared" si="2"/>
        <v>0</v>
      </c>
      <c r="G20" s="285"/>
      <c r="H20" s="5"/>
      <c r="I20" s="5"/>
      <c r="J20" s="5"/>
      <c r="K20" s="5"/>
    </row>
    <row r="21" spans="1:11" ht="27" customHeight="1" x14ac:dyDescent="0.25">
      <c r="A21" s="37"/>
      <c r="B21" s="35" t="s">
        <v>102</v>
      </c>
      <c r="C21" s="61">
        <f>SUM(C10:C20)</f>
        <v>29</v>
      </c>
      <c r="D21" s="15"/>
      <c r="E21" s="15"/>
      <c r="F21" s="62">
        <f>SUM(F10:F20)</f>
        <v>260</v>
      </c>
      <c r="G21" s="63" t="s">
        <v>103</v>
      </c>
      <c r="H21" s="5"/>
      <c r="I21" s="5"/>
      <c r="J21" s="5"/>
      <c r="K21" s="5"/>
    </row>
    <row r="22" spans="1:11" ht="15.75" customHeight="1" x14ac:dyDescent="0.25">
      <c r="A22" s="5"/>
      <c r="B22" s="64"/>
      <c r="C22" s="5"/>
      <c r="D22" s="5"/>
      <c r="E22" s="5"/>
      <c r="F22" s="5"/>
      <c r="G22" s="5"/>
      <c r="H22" s="5"/>
      <c r="I22" s="5"/>
      <c r="J22" s="5"/>
      <c r="K22" s="5"/>
    </row>
    <row r="23" spans="1:11" ht="15.75" customHeight="1" x14ac:dyDescent="0.25">
      <c r="A23" s="5"/>
      <c r="B23" s="5"/>
      <c r="C23" s="5"/>
      <c r="D23" s="5"/>
      <c r="E23" s="5"/>
      <c r="F23" s="5"/>
      <c r="G23" s="5"/>
      <c r="H23" s="5"/>
      <c r="I23" s="5"/>
      <c r="J23" s="5"/>
      <c r="K23" s="5"/>
    </row>
    <row r="24" spans="1:11" ht="15.75" customHeight="1" x14ac:dyDescent="0.25">
      <c r="A24" s="5"/>
      <c r="B24" s="5"/>
      <c r="C24" s="5"/>
      <c r="D24" s="5"/>
      <c r="E24" s="5"/>
      <c r="F24" s="5"/>
      <c r="G24" s="5"/>
      <c r="H24" s="5"/>
      <c r="I24" s="5"/>
      <c r="J24" s="5"/>
      <c r="K24" s="5"/>
    </row>
    <row r="25" spans="1:11" ht="15.75" customHeight="1" x14ac:dyDescent="0.25">
      <c r="A25" s="5"/>
      <c r="B25" s="5"/>
      <c r="C25" s="5"/>
      <c r="D25" s="5"/>
      <c r="E25" s="5"/>
      <c r="F25" s="5"/>
      <c r="G25" s="5"/>
      <c r="H25" s="5"/>
      <c r="I25" s="5"/>
      <c r="J25" s="5"/>
      <c r="K25" s="5"/>
    </row>
    <row r="26" spans="1:11" ht="15.75" customHeight="1" x14ac:dyDescent="0.25">
      <c r="A26" s="5"/>
      <c r="B26" s="5"/>
      <c r="C26" s="5"/>
      <c r="D26" s="5"/>
      <c r="E26" s="5"/>
      <c r="F26" s="5"/>
      <c r="G26" s="5"/>
      <c r="H26" s="5"/>
      <c r="I26" s="5"/>
      <c r="J26" s="5"/>
      <c r="K26" s="5"/>
    </row>
    <row r="27" spans="1:11" ht="15.75" customHeight="1" x14ac:dyDescent="0.25">
      <c r="A27" s="5"/>
      <c r="B27" s="5"/>
      <c r="C27" s="5"/>
      <c r="D27" s="5"/>
      <c r="E27" s="5"/>
      <c r="F27" s="5"/>
      <c r="G27" s="5"/>
      <c r="H27" s="5"/>
      <c r="I27" s="5"/>
      <c r="J27" s="5"/>
      <c r="K27" s="5"/>
    </row>
    <row r="28" spans="1:11" ht="15.75" customHeight="1" x14ac:dyDescent="0.25">
      <c r="A28" s="5"/>
      <c r="B28" s="5"/>
      <c r="C28" s="5"/>
      <c r="D28" s="5"/>
      <c r="E28" s="5"/>
      <c r="F28" s="5"/>
      <c r="G28" s="5"/>
      <c r="H28" s="5"/>
      <c r="I28" s="5"/>
      <c r="J28" s="5"/>
      <c r="K28" s="5"/>
    </row>
    <row r="29" spans="1:11" ht="15.75" customHeight="1" x14ac:dyDescent="0.25">
      <c r="A29" s="5"/>
      <c r="B29" s="5"/>
      <c r="C29" s="5"/>
      <c r="D29" s="5"/>
      <c r="E29" s="5"/>
      <c r="F29" s="5"/>
      <c r="G29" s="5"/>
      <c r="H29" s="5"/>
      <c r="I29" s="5"/>
      <c r="J29" s="5"/>
      <c r="K29" s="5"/>
    </row>
    <row r="30" spans="1:11" ht="15.75" customHeight="1" x14ac:dyDescent="0.25">
      <c r="A30" s="5"/>
      <c r="B30" s="5"/>
      <c r="C30" s="5"/>
      <c r="D30" s="5"/>
      <c r="E30" s="5"/>
      <c r="F30" s="5"/>
      <c r="G30" s="5"/>
      <c r="H30" s="5"/>
      <c r="I30" s="5"/>
      <c r="J30" s="5"/>
      <c r="K30" s="5"/>
    </row>
    <row r="31" spans="1:11" ht="15.75" customHeight="1" x14ac:dyDescent="0.25">
      <c r="A31" s="5"/>
      <c r="B31" s="5"/>
      <c r="C31" s="5"/>
      <c r="D31" s="5"/>
      <c r="E31" s="5"/>
      <c r="F31" s="5"/>
      <c r="G31" s="5"/>
      <c r="H31" s="5"/>
      <c r="I31" s="5"/>
      <c r="J31" s="5"/>
      <c r="K31" s="5"/>
    </row>
    <row r="32" spans="1:11" ht="15.75" customHeight="1" x14ac:dyDescent="0.25">
      <c r="A32" s="5"/>
      <c r="B32" s="5"/>
      <c r="C32" s="5"/>
      <c r="D32" s="5"/>
      <c r="E32" s="5"/>
      <c r="F32" s="5"/>
      <c r="G32" s="5"/>
      <c r="H32" s="5"/>
      <c r="I32" s="5"/>
      <c r="J32" s="5"/>
      <c r="K32" s="5"/>
    </row>
    <row r="33" spans="1:11" ht="15.75" customHeight="1" x14ac:dyDescent="0.25">
      <c r="A33" s="5"/>
      <c r="B33" s="5"/>
      <c r="C33" s="5"/>
      <c r="D33" s="5"/>
      <c r="E33" s="5"/>
      <c r="F33" s="5"/>
      <c r="G33" s="5"/>
      <c r="H33" s="5"/>
      <c r="I33" s="5"/>
      <c r="J33" s="5"/>
      <c r="K33" s="5"/>
    </row>
    <row r="34" spans="1:11" ht="15.75" customHeight="1" x14ac:dyDescent="0.25">
      <c r="A34" s="5"/>
      <c r="B34" s="5"/>
      <c r="C34" s="5"/>
      <c r="D34" s="5"/>
      <c r="E34" s="5"/>
      <c r="F34" s="5"/>
      <c r="G34" s="5"/>
      <c r="H34" s="5"/>
      <c r="I34" s="5"/>
      <c r="J34" s="5"/>
      <c r="K34" s="5"/>
    </row>
    <row r="35" spans="1:11" ht="15.75" customHeight="1" x14ac:dyDescent="0.25">
      <c r="A35" s="5"/>
      <c r="B35" s="5"/>
      <c r="C35" s="5"/>
      <c r="D35" s="5"/>
      <c r="E35" s="5"/>
      <c r="F35" s="5"/>
      <c r="G35" s="5"/>
      <c r="H35" s="5"/>
      <c r="I35" s="5"/>
      <c r="J35" s="5"/>
      <c r="K35" s="5"/>
    </row>
    <row r="36" spans="1:11" ht="15.75" customHeight="1" x14ac:dyDescent="0.25">
      <c r="A36" s="5"/>
      <c r="B36" s="5"/>
      <c r="C36" s="5"/>
      <c r="D36" s="5"/>
      <c r="E36" s="5"/>
      <c r="F36" s="5"/>
      <c r="G36" s="5"/>
      <c r="H36" s="5"/>
      <c r="I36" s="5"/>
      <c r="J36" s="5"/>
      <c r="K36" s="5"/>
    </row>
    <row r="37" spans="1:11" ht="15.75" customHeight="1" x14ac:dyDescent="0.25">
      <c r="A37" s="5"/>
      <c r="B37" s="5"/>
      <c r="C37" s="5"/>
      <c r="D37" s="5"/>
      <c r="E37" s="5"/>
      <c r="F37" s="5"/>
      <c r="G37" s="5"/>
      <c r="H37" s="5"/>
      <c r="I37" s="5"/>
      <c r="J37" s="5"/>
      <c r="K37" s="5"/>
    </row>
    <row r="38" spans="1:11" ht="15.75" customHeight="1" x14ac:dyDescent="0.25">
      <c r="A38" s="5"/>
      <c r="B38" s="5"/>
      <c r="C38" s="5"/>
      <c r="D38" s="5"/>
      <c r="E38" s="5"/>
      <c r="F38" s="5"/>
      <c r="G38" s="5"/>
      <c r="H38" s="5"/>
      <c r="I38" s="5"/>
      <c r="J38" s="5"/>
      <c r="K38" s="5"/>
    </row>
    <row r="39" spans="1:11" ht="15.75" customHeight="1" x14ac:dyDescent="0.25">
      <c r="A39" s="5"/>
      <c r="B39" s="5"/>
      <c r="C39" s="5"/>
      <c r="D39" s="5"/>
      <c r="E39" s="5"/>
      <c r="F39" s="5"/>
      <c r="G39" s="5"/>
      <c r="H39" s="5"/>
      <c r="I39" s="5"/>
      <c r="J39" s="5"/>
      <c r="K39" s="5"/>
    </row>
    <row r="40" spans="1:11" ht="15.75" customHeight="1" x14ac:dyDescent="0.25">
      <c r="A40" s="5"/>
      <c r="B40" s="5"/>
      <c r="C40" s="5"/>
      <c r="D40" s="5"/>
      <c r="E40" s="5"/>
      <c r="F40" s="5"/>
      <c r="G40" s="5"/>
      <c r="H40" s="5"/>
      <c r="I40" s="5"/>
      <c r="J40" s="5"/>
      <c r="K40" s="5"/>
    </row>
    <row r="41" spans="1:11" ht="15.75" customHeight="1" x14ac:dyDescent="0.25">
      <c r="A41" s="5"/>
      <c r="B41" s="5"/>
      <c r="C41" s="5"/>
      <c r="D41" s="5"/>
      <c r="E41" s="5"/>
      <c r="F41" s="5"/>
      <c r="G41" s="5"/>
      <c r="H41" s="5"/>
      <c r="I41" s="5"/>
      <c r="J41" s="5"/>
      <c r="K41" s="5"/>
    </row>
    <row r="42" spans="1:11" ht="15.75" customHeight="1" x14ac:dyDescent="0.25">
      <c r="A42" s="5"/>
      <c r="B42" s="5"/>
      <c r="C42" s="5"/>
      <c r="D42" s="5"/>
      <c r="E42" s="5"/>
      <c r="F42" s="5"/>
      <c r="G42" s="5"/>
      <c r="H42" s="5"/>
      <c r="I42" s="5"/>
      <c r="J42" s="5"/>
      <c r="K42" s="5"/>
    </row>
    <row r="43" spans="1:11" ht="15.75" customHeight="1" x14ac:dyDescent="0.25">
      <c r="A43" s="5"/>
      <c r="B43" s="5"/>
      <c r="C43" s="5"/>
      <c r="D43" s="5"/>
      <c r="E43" s="5"/>
      <c r="F43" s="5"/>
      <c r="G43" s="5"/>
      <c r="H43" s="5"/>
      <c r="I43" s="5"/>
      <c r="J43" s="5"/>
      <c r="K43" s="5"/>
    </row>
    <row r="44" spans="1:11" ht="15.75" customHeight="1" x14ac:dyDescent="0.25">
      <c r="A44" s="5"/>
      <c r="B44" s="5"/>
      <c r="C44" s="5"/>
      <c r="D44" s="5"/>
      <c r="E44" s="5"/>
      <c r="F44" s="5"/>
      <c r="G44" s="5"/>
      <c r="H44" s="5"/>
      <c r="I44" s="5"/>
      <c r="J44" s="5"/>
      <c r="K44" s="5"/>
    </row>
    <row r="45" spans="1:11" ht="15.75" customHeight="1" x14ac:dyDescent="0.25">
      <c r="A45" s="5"/>
      <c r="B45" s="5"/>
      <c r="C45" s="5"/>
      <c r="D45" s="5"/>
      <c r="E45" s="5"/>
      <c r="F45" s="5"/>
      <c r="G45" s="5"/>
      <c r="H45" s="5"/>
      <c r="I45" s="5"/>
      <c r="J45" s="5"/>
      <c r="K45" s="5"/>
    </row>
    <row r="46" spans="1:11" ht="15.75" customHeight="1" x14ac:dyDescent="0.25">
      <c r="A46" s="5"/>
      <c r="B46" s="5"/>
      <c r="C46" s="5"/>
      <c r="D46" s="5"/>
      <c r="E46" s="5"/>
      <c r="F46" s="5"/>
      <c r="G46" s="5"/>
      <c r="H46" s="5"/>
      <c r="I46" s="5"/>
      <c r="J46" s="5"/>
      <c r="K46" s="5"/>
    </row>
    <row r="47" spans="1:11" ht="15.75" customHeight="1" x14ac:dyDescent="0.25">
      <c r="A47" s="5"/>
      <c r="B47" s="5"/>
      <c r="C47" s="5"/>
      <c r="D47" s="5"/>
      <c r="E47" s="5"/>
      <c r="F47" s="5"/>
      <c r="G47" s="5"/>
      <c r="H47" s="5"/>
      <c r="I47" s="5"/>
      <c r="J47" s="5"/>
      <c r="K47" s="5"/>
    </row>
    <row r="48" spans="1:11" ht="15.75" customHeight="1" x14ac:dyDescent="0.25">
      <c r="A48" s="5"/>
      <c r="B48" s="5"/>
      <c r="C48" s="5"/>
      <c r="D48" s="5"/>
      <c r="E48" s="5"/>
      <c r="F48" s="5"/>
      <c r="G48" s="5"/>
      <c r="H48" s="5"/>
      <c r="I48" s="5"/>
      <c r="J48" s="5"/>
      <c r="K48" s="5"/>
    </row>
    <row r="49" spans="1:11" ht="15.75" customHeight="1" x14ac:dyDescent="0.25">
      <c r="A49" s="5"/>
      <c r="B49" s="5"/>
      <c r="C49" s="5"/>
      <c r="D49" s="5"/>
      <c r="E49" s="5"/>
      <c r="F49" s="5"/>
      <c r="G49" s="5"/>
      <c r="H49" s="5"/>
      <c r="I49" s="5"/>
      <c r="J49" s="5"/>
      <c r="K49" s="5"/>
    </row>
    <row r="50" spans="1:11" ht="15.75" customHeight="1" x14ac:dyDescent="0.25">
      <c r="A50" s="5"/>
      <c r="B50" s="5"/>
      <c r="C50" s="5"/>
      <c r="D50" s="5"/>
      <c r="E50" s="5"/>
      <c r="F50" s="5"/>
      <c r="G50" s="5"/>
      <c r="H50" s="5"/>
      <c r="I50" s="5"/>
      <c r="J50" s="5"/>
      <c r="K50" s="5"/>
    </row>
    <row r="51" spans="1:11" ht="15.75" customHeight="1" x14ac:dyDescent="0.25">
      <c r="A51" s="5"/>
      <c r="B51" s="5"/>
      <c r="C51" s="5"/>
      <c r="D51" s="5"/>
      <c r="E51" s="5"/>
      <c r="F51" s="5"/>
      <c r="G51" s="5"/>
      <c r="H51" s="5"/>
      <c r="I51" s="5"/>
      <c r="J51" s="5"/>
      <c r="K51" s="5"/>
    </row>
    <row r="52" spans="1:11" ht="15.75" customHeight="1" x14ac:dyDescent="0.25">
      <c r="A52" s="5"/>
      <c r="B52" s="5"/>
      <c r="C52" s="5"/>
      <c r="D52" s="5"/>
      <c r="E52" s="5"/>
      <c r="F52" s="5"/>
      <c r="G52" s="5"/>
      <c r="H52" s="5"/>
      <c r="I52" s="5"/>
      <c r="J52" s="5"/>
      <c r="K52" s="5"/>
    </row>
    <row r="53" spans="1:11" ht="15.75" customHeight="1" x14ac:dyDescent="0.25">
      <c r="A53" s="5"/>
      <c r="B53" s="5"/>
      <c r="C53" s="5"/>
      <c r="D53" s="5"/>
      <c r="E53" s="5"/>
      <c r="F53" s="5"/>
      <c r="G53" s="5"/>
      <c r="H53" s="5"/>
      <c r="I53" s="5"/>
      <c r="J53" s="5"/>
      <c r="K53" s="5"/>
    </row>
    <row r="54" spans="1:11" ht="15.75" customHeight="1" x14ac:dyDescent="0.25">
      <c r="A54" s="5"/>
      <c r="B54" s="5"/>
      <c r="C54" s="5"/>
      <c r="D54" s="5"/>
      <c r="E54" s="5"/>
      <c r="F54" s="5"/>
      <c r="G54" s="5"/>
      <c r="H54" s="5"/>
      <c r="I54" s="5"/>
      <c r="J54" s="5"/>
      <c r="K54" s="5"/>
    </row>
    <row r="55" spans="1:11" ht="15.75" customHeight="1" x14ac:dyDescent="0.25">
      <c r="A55" s="5"/>
      <c r="B55" s="5"/>
      <c r="C55" s="5"/>
      <c r="D55" s="5"/>
      <c r="E55" s="5"/>
      <c r="F55" s="5"/>
      <c r="G55" s="5"/>
      <c r="H55" s="5"/>
      <c r="I55" s="5"/>
      <c r="J55" s="5"/>
      <c r="K55" s="5"/>
    </row>
    <row r="56" spans="1:11" ht="15.75" customHeight="1" x14ac:dyDescent="0.25">
      <c r="A56" s="5"/>
      <c r="B56" s="5"/>
      <c r="C56" s="5"/>
      <c r="D56" s="5"/>
      <c r="E56" s="5"/>
      <c r="F56" s="5"/>
      <c r="G56" s="5"/>
      <c r="H56" s="5"/>
      <c r="I56" s="5"/>
      <c r="J56" s="5"/>
      <c r="K56" s="5"/>
    </row>
    <row r="57" spans="1:11" ht="15.75" customHeight="1" x14ac:dyDescent="0.25">
      <c r="A57" s="5"/>
      <c r="B57" s="5"/>
      <c r="C57" s="5"/>
      <c r="D57" s="5"/>
      <c r="E57" s="5"/>
      <c r="F57" s="5"/>
      <c r="G57" s="5"/>
      <c r="H57" s="5"/>
      <c r="I57" s="5"/>
      <c r="J57" s="5"/>
      <c r="K57" s="5"/>
    </row>
    <row r="58" spans="1:11" ht="15.75" customHeight="1" x14ac:dyDescent="0.25">
      <c r="A58" s="5"/>
      <c r="B58" s="5"/>
      <c r="C58" s="5"/>
      <c r="D58" s="5"/>
      <c r="E58" s="5"/>
      <c r="F58" s="5"/>
      <c r="G58" s="5"/>
      <c r="H58" s="5"/>
      <c r="I58" s="5"/>
      <c r="J58" s="5"/>
      <c r="K58" s="5"/>
    </row>
    <row r="59" spans="1:11" ht="15.75" customHeight="1" x14ac:dyDescent="0.25">
      <c r="A59" s="5"/>
      <c r="B59" s="5"/>
      <c r="C59" s="5"/>
      <c r="D59" s="5"/>
      <c r="E59" s="5"/>
      <c r="F59" s="5"/>
      <c r="G59" s="5"/>
      <c r="H59" s="5"/>
      <c r="I59" s="5"/>
      <c r="J59" s="5"/>
      <c r="K59" s="5"/>
    </row>
    <row r="60" spans="1:11" ht="15.75" customHeight="1" x14ac:dyDescent="0.25">
      <c r="A60" s="5"/>
      <c r="B60" s="5"/>
      <c r="C60" s="5"/>
      <c r="D60" s="5"/>
      <c r="E60" s="5"/>
      <c r="F60" s="5"/>
      <c r="G60" s="5"/>
      <c r="H60" s="5"/>
      <c r="I60" s="5"/>
      <c r="J60" s="5"/>
      <c r="K60" s="5"/>
    </row>
    <row r="61" spans="1:11" ht="15.75" customHeight="1" x14ac:dyDescent="0.25">
      <c r="A61" s="5"/>
      <c r="B61" s="5"/>
      <c r="C61" s="5"/>
      <c r="D61" s="5"/>
      <c r="E61" s="5"/>
      <c r="F61" s="5"/>
      <c r="G61" s="5"/>
      <c r="H61" s="5"/>
      <c r="I61" s="5"/>
      <c r="J61" s="5"/>
      <c r="K61" s="5"/>
    </row>
    <row r="62" spans="1:11" ht="15.75" customHeight="1" x14ac:dyDescent="0.25">
      <c r="A62" s="5"/>
      <c r="B62" s="5"/>
      <c r="C62" s="5"/>
      <c r="D62" s="5"/>
      <c r="E62" s="5"/>
      <c r="F62" s="5"/>
      <c r="G62" s="5"/>
      <c r="H62" s="5"/>
      <c r="I62" s="5"/>
      <c r="J62" s="5"/>
      <c r="K62" s="5"/>
    </row>
    <row r="63" spans="1:11" ht="15.75" customHeight="1" x14ac:dyDescent="0.25">
      <c r="A63" s="5"/>
      <c r="B63" s="5"/>
      <c r="C63" s="5"/>
      <c r="D63" s="5"/>
      <c r="E63" s="5"/>
      <c r="F63" s="5"/>
      <c r="G63" s="5"/>
      <c r="H63" s="5"/>
      <c r="I63" s="5"/>
      <c r="J63" s="5"/>
      <c r="K63" s="5"/>
    </row>
    <row r="64" spans="1:11" ht="15.75" customHeight="1" x14ac:dyDescent="0.25">
      <c r="A64" s="5"/>
      <c r="B64" s="5"/>
      <c r="C64" s="5"/>
      <c r="D64" s="5"/>
      <c r="E64" s="5"/>
      <c r="F64" s="5"/>
      <c r="G64" s="5"/>
      <c r="H64" s="5"/>
      <c r="I64" s="5"/>
      <c r="J64" s="5"/>
      <c r="K64" s="5"/>
    </row>
    <row r="65" spans="1:11" ht="15.75" customHeight="1" x14ac:dyDescent="0.25">
      <c r="A65" s="5"/>
      <c r="B65" s="5"/>
      <c r="C65" s="5"/>
      <c r="D65" s="5"/>
      <c r="E65" s="5"/>
      <c r="F65" s="5"/>
      <c r="G65" s="5"/>
      <c r="H65" s="5"/>
      <c r="I65" s="5"/>
      <c r="J65" s="5"/>
      <c r="K65" s="5"/>
    </row>
    <row r="66" spans="1:11" ht="15.75" customHeight="1" x14ac:dyDescent="0.25">
      <c r="A66" s="5"/>
      <c r="B66" s="5"/>
      <c r="C66" s="5"/>
      <c r="D66" s="5"/>
      <c r="E66" s="5"/>
      <c r="F66" s="5"/>
      <c r="G66" s="5"/>
      <c r="H66" s="5"/>
      <c r="I66" s="5"/>
      <c r="J66" s="5"/>
      <c r="K66" s="5"/>
    </row>
    <row r="67" spans="1:11" ht="15.75" customHeight="1" x14ac:dyDescent="0.25">
      <c r="A67" s="5"/>
      <c r="B67" s="5"/>
      <c r="C67" s="5"/>
      <c r="D67" s="5"/>
      <c r="E67" s="5"/>
      <c r="F67" s="5"/>
      <c r="G67" s="5"/>
      <c r="H67" s="5"/>
      <c r="I67" s="5"/>
      <c r="J67" s="5"/>
      <c r="K67" s="5"/>
    </row>
    <row r="68" spans="1:11" ht="15.75" customHeight="1" x14ac:dyDescent="0.25">
      <c r="A68" s="5"/>
      <c r="B68" s="5"/>
      <c r="C68" s="5"/>
      <c r="D68" s="5"/>
      <c r="E68" s="5"/>
      <c r="F68" s="5"/>
      <c r="G68" s="5"/>
      <c r="H68" s="5"/>
      <c r="I68" s="5"/>
      <c r="J68" s="5"/>
      <c r="K68" s="5"/>
    </row>
    <row r="69" spans="1:11" ht="15.75" customHeight="1" x14ac:dyDescent="0.25">
      <c r="A69" s="5"/>
      <c r="B69" s="5"/>
      <c r="C69" s="5"/>
      <c r="D69" s="5"/>
      <c r="E69" s="5"/>
      <c r="F69" s="5"/>
      <c r="G69" s="5"/>
      <c r="H69" s="5"/>
      <c r="I69" s="5"/>
      <c r="J69" s="5"/>
      <c r="K69" s="5"/>
    </row>
    <row r="70" spans="1:11" ht="15.75" customHeight="1" x14ac:dyDescent="0.25">
      <c r="A70" s="5"/>
      <c r="B70" s="5"/>
      <c r="C70" s="5"/>
      <c r="D70" s="5"/>
      <c r="E70" s="5"/>
      <c r="F70" s="5"/>
      <c r="G70" s="5"/>
      <c r="H70" s="5"/>
      <c r="I70" s="5"/>
      <c r="J70" s="5"/>
      <c r="K70" s="5"/>
    </row>
    <row r="71" spans="1:11" ht="15.75" customHeight="1" x14ac:dyDescent="0.25">
      <c r="A71" s="5"/>
      <c r="B71" s="5"/>
      <c r="C71" s="5"/>
      <c r="D71" s="5"/>
      <c r="E71" s="5"/>
      <c r="F71" s="5"/>
      <c r="G71" s="5"/>
      <c r="H71" s="5"/>
      <c r="I71" s="5"/>
      <c r="J71" s="5"/>
      <c r="K71" s="5"/>
    </row>
    <row r="72" spans="1:11" ht="15.75" customHeight="1" x14ac:dyDescent="0.25">
      <c r="A72" s="5"/>
      <c r="B72" s="5"/>
      <c r="C72" s="5"/>
      <c r="D72" s="5"/>
      <c r="E72" s="5"/>
      <c r="F72" s="5"/>
      <c r="G72" s="5"/>
      <c r="H72" s="5"/>
      <c r="I72" s="5"/>
      <c r="J72" s="5"/>
      <c r="K72" s="5"/>
    </row>
    <row r="73" spans="1:11" ht="15.75" customHeight="1" x14ac:dyDescent="0.25">
      <c r="A73" s="5"/>
      <c r="B73" s="5"/>
      <c r="C73" s="5"/>
      <c r="D73" s="5"/>
      <c r="E73" s="5"/>
      <c r="F73" s="5"/>
      <c r="G73" s="5"/>
      <c r="H73" s="5"/>
      <c r="I73" s="5"/>
      <c r="J73" s="5"/>
      <c r="K73" s="5"/>
    </row>
    <row r="74" spans="1:11" ht="15.75" customHeight="1" x14ac:dyDescent="0.25">
      <c r="A74" s="5"/>
      <c r="B74" s="5"/>
      <c r="C74" s="5"/>
      <c r="D74" s="5"/>
      <c r="E74" s="5"/>
      <c r="F74" s="5"/>
      <c r="G74" s="5"/>
      <c r="H74" s="5"/>
      <c r="I74" s="5"/>
      <c r="J74" s="5"/>
      <c r="K74" s="5"/>
    </row>
    <row r="75" spans="1:11" ht="15.75" customHeight="1" x14ac:dyDescent="0.25">
      <c r="A75" s="5"/>
      <c r="B75" s="5"/>
      <c r="C75" s="5"/>
      <c r="D75" s="5"/>
      <c r="E75" s="5"/>
      <c r="F75" s="5"/>
      <c r="G75" s="5"/>
      <c r="H75" s="5"/>
      <c r="I75" s="5"/>
      <c r="J75" s="5"/>
      <c r="K75" s="5"/>
    </row>
    <row r="76" spans="1:11" ht="15.75" customHeight="1" x14ac:dyDescent="0.25">
      <c r="A76" s="5"/>
      <c r="B76" s="5"/>
      <c r="C76" s="5"/>
      <c r="D76" s="5"/>
      <c r="E76" s="5"/>
      <c r="F76" s="5"/>
      <c r="G76" s="5"/>
      <c r="H76" s="5"/>
      <c r="I76" s="5"/>
      <c r="J76" s="5"/>
      <c r="K76" s="5"/>
    </row>
    <row r="77" spans="1:11" ht="15.75" customHeight="1" x14ac:dyDescent="0.25">
      <c r="A77" s="5"/>
      <c r="B77" s="5"/>
      <c r="C77" s="5"/>
      <c r="D77" s="5"/>
      <c r="E77" s="5"/>
      <c r="F77" s="5"/>
      <c r="G77" s="5"/>
      <c r="H77" s="5"/>
      <c r="I77" s="5"/>
      <c r="J77" s="5"/>
      <c r="K77" s="5"/>
    </row>
    <row r="78" spans="1:11" ht="15.75" customHeight="1" x14ac:dyDescent="0.25">
      <c r="A78" s="5"/>
      <c r="B78" s="5"/>
      <c r="C78" s="5"/>
      <c r="D78" s="5"/>
      <c r="E78" s="5"/>
      <c r="F78" s="5"/>
      <c r="G78" s="5"/>
      <c r="H78" s="5"/>
      <c r="I78" s="5"/>
      <c r="J78" s="5"/>
      <c r="K78" s="5"/>
    </row>
    <row r="79" spans="1:11" ht="15.75" customHeight="1" x14ac:dyDescent="0.25">
      <c r="A79" s="5"/>
      <c r="B79" s="5"/>
      <c r="C79" s="5"/>
      <c r="D79" s="5"/>
      <c r="E79" s="5"/>
      <c r="F79" s="5"/>
      <c r="G79" s="5"/>
      <c r="H79" s="5"/>
      <c r="I79" s="5"/>
      <c r="J79" s="5"/>
      <c r="K79" s="5"/>
    </row>
    <row r="80" spans="1:11" ht="15.75" customHeight="1" x14ac:dyDescent="0.25">
      <c r="A80" s="5"/>
      <c r="B80" s="5"/>
      <c r="C80" s="5"/>
      <c r="D80" s="5"/>
      <c r="E80" s="5"/>
      <c r="F80" s="5"/>
      <c r="G80" s="5"/>
      <c r="H80" s="5"/>
      <c r="I80" s="5"/>
      <c r="J80" s="5"/>
      <c r="K80" s="5"/>
    </row>
    <row r="81" spans="1:11" ht="15.75" customHeight="1" x14ac:dyDescent="0.25">
      <c r="A81" s="5"/>
      <c r="B81" s="5"/>
      <c r="C81" s="5"/>
      <c r="D81" s="5"/>
      <c r="E81" s="5"/>
      <c r="F81" s="5"/>
      <c r="G81" s="5"/>
      <c r="H81" s="5"/>
      <c r="I81" s="5"/>
      <c r="J81" s="5"/>
      <c r="K81" s="5"/>
    </row>
    <row r="82" spans="1:11" ht="15.75" customHeight="1" x14ac:dyDescent="0.25">
      <c r="A82" s="5"/>
      <c r="B82" s="5"/>
      <c r="C82" s="5"/>
      <c r="D82" s="5"/>
      <c r="E82" s="5"/>
      <c r="F82" s="5"/>
      <c r="G82" s="5"/>
      <c r="H82" s="5"/>
      <c r="I82" s="5"/>
      <c r="J82" s="5"/>
      <c r="K82" s="5"/>
    </row>
    <row r="83" spans="1:11" ht="15.75" customHeight="1" x14ac:dyDescent="0.25">
      <c r="A83" s="5"/>
      <c r="B83" s="5"/>
      <c r="C83" s="5"/>
      <c r="D83" s="5"/>
      <c r="E83" s="5"/>
      <c r="F83" s="5"/>
      <c r="G83" s="5"/>
      <c r="H83" s="5"/>
      <c r="I83" s="5"/>
      <c r="J83" s="5"/>
      <c r="K83" s="5"/>
    </row>
    <row r="84" spans="1:11" ht="15.75" customHeight="1" x14ac:dyDescent="0.25">
      <c r="A84" s="5"/>
      <c r="B84" s="5"/>
      <c r="C84" s="5"/>
      <c r="D84" s="5"/>
      <c r="E84" s="5"/>
      <c r="F84" s="5"/>
      <c r="G84" s="5"/>
      <c r="H84" s="5"/>
      <c r="I84" s="5"/>
      <c r="J84" s="5"/>
      <c r="K84" s="5"/>
    </row>
    <row r="85" spans="1:11" ht="15.75" customHeight="1" x14ac:dyDescent="0.25">
      <c r="A85" s="5"/>
      <c r="B85" s="5"/>
      <c r="C85" s="5"/>
      <c r="D85" s="5"/>
      <c r="E85" s="5"/>
      <c r="F85" s="5"/>
      <c r="G85" s="5"/>
      <c r="H85" s="5"/>
      <c r="I85" s="5"/>
      <c r="J85" s="5"/>
      <c r="K85" s="5"/>
    </row>
    <row r="86" spans="1:11" ht="15.75" customHeight="1" x14ac:dyDescent="0.25">
      <c r="A86" s="5"/>
      <c r="B86" s="5"/>
      <c r="C86" s="5"/>
      <c r="D86" s="5"/>
      <c r="E86" s="5"/>
      <c r="F86" s="5"/>
      <c r="G86" s="5"/>
      <c r="H86" s="5"/>
      <c r="I86" s="5"/>
      <c r="J86" s="5"/>
      <c r="K86" s="5"/>
    </row>
    <row r="87" spans="1:11" ht="15.75" customHeight="1" x14ac:dyDescent="0.25">
      <c r="A87" s="5"/>
      <c r="B87" s="5"/>
      <c r="C87" s="5"/>
      <c r="D87" s="5"/>
      <c r="E87" s="5"/>
      <c r="F87" s="5"/>
      <c r="G87" s="5"/>
      <c r="H87" s="5"/>
      <c r="I87" s="5"/>
      <c r="J87" s="5"/>
      <c r="K87" s="5"/>
    </row>
    <row r="88" spans="1:11" ht="15.75" customHeight="1" x14ac:dyDescent="0.25">
      <c r="A88" s="5"/>
      <c r="B88" s="5"/>
      <c r="C88" s="5"/>
      <c r="D88" s="5"/>
      <c r="E88" s="5"/>
      <c r="F88" s="5"/>
      <c r="G88" s="5"/>
      <c r="H88" s="5"/>
      <c r="I88" s="5"/>
      <c r="J88" s="5"/>
      <c r="K88" s="5"/>
    </row>
    <row r="89" spans="1:11" ht="15.75" customHeight="1" x14ac:dyDescent="0.25">
      <c r="A89" s="5"/>
      <c r="B89" s="5"/>
      <c r="C89" s="5"/>
      <c r="D89" s="5"/>
      <c r="E89" s="5"/>
      <c r="F89" s="5"/>
      <c r="G89" s="5"/>
      <c r="H89" s="5"/>
      <c r="I89" s="5"/>
      <c r="J89" s="5"/>
      <c r="K89" s="5"/>
    </row>
    <row r="90" spans="1:11" ht="15.75" customHeight="1" x14ac:dyDescent="0.25">
      <c r="A90" s="5"/>
      <c r="B90" s="5"/>
      <c r="C90" s="5"/>
      <c r="D90" s="5"/>
      <c r="E90" s="5"/>
      <c r="F90" s="5"/>
      <c r="G90" s="5"/>
      <c r="H90" s="5"/>
      <c r="I90" s="5"/>
      <c r="J90" s="5"/>
      <c r="K90" s="5"/>
    </row>
    <row r="91" spans="1:11" ht="15.75" customHeight="1" x14ac:dyDescent="0.25">
      <c r="A91" s="5"/>
      <c r="B91" s="5"/>
      <c r="C91" s="5"/>
      <c r="D91" s="5"/>
      <c r="E91" s="5"/>
      <c r="F91" s="5"/>
      <c r="G91" s="5"/>
      <c r="H91" s="5"/>
      <c r="I91" s="5"/>
      <c r="J91" s="5"/>
      <c r="K91" s="5"/>
    </row>
    <row r="92" spans="1:11" ht="15.75" customHeight="1" x14ac:dyDescent="0.25">
      <c r="A92" s="5"/>
      <c r="B92" s="5"/>
      <c r="C92" s="5"/>
      <c r="D92" s="5"/>
      <c r="E92" s="5"/>
      <c r="F92" s="5"/>
      <c r="G92" s="5"/>
      <c r="H92" s="5"/>
      <c r="I92" s="5"/>
      <c r="J92" s="5"/>
      <c r="K92" s="5"/>
    </row>
    <row r="93" spans="1:11" ht="15.75" customHeight="1" x14ac:dyDescent="0.25">
      <c r="A93" s="5"/>
      <c r="B93" s="5"/>
      <c r="C93" s="5"/>
      <c r="D93" s="5"/>
      <c r="E93" s="5"/>
      <c r="F93" s="5"/>
      <c r="G93" s="5"/>
      <c r="H93" s="5"/>
      <c r="I93" s="5"/>
      <c r="J93" s="5"/>
      <c r="K93" s="5"/>
    </row>
    <row r="94" spans="1:11" ht="15.75" customHeight="1" x14ac:dyDescent="0.25">
      <c r="A94" s="5"/>
      <c r="B94" s="5"/>
      <c r="C94" s="5"/>
      <c r="D94" s="5"/>
      <c r="E94" s="5"/>
      <c r="F94" s="5"/>
      <c r="G94" s="5"/>
      <c r="H94" s="5"/>
      <c r="I94" s="5"/>
      <c r="J94" s="5"/>
      <c r="K94" s="5"/>
    </row>
    <row r="95" spans="1:11" ht="15.75" customHeight="1" x14ac:dyDescent="0.25">
      <c r="A95" s="5"/>
      <c r="B95" s="5"/>
      <c r="C95" s="5"/>
      <c r="D95" s="5"/>
      <c r="E95" s="5"/>
      <c r="F95" s="5"/>
      <c r="G95" s="5"/>
      <c r="H95" s="5"/>
      <c r="I95" s="5"/>
      <c r="J95" s="5"/>
      <c r="K95" s="5"/>
    </row>
    <row r="96" spans="1:11" ht="15.75" customHeight="1" x14ac:dyDescent="0.25">
      <c r="A96" s="5"/>
      <c r="B96" s="5"/>
      <c r="C96" s="5"/>
      <c r="D96" s="5"/>
      <c r="E96" s="5"/>
      <c r="F96" s="5"/>
      <c r="G96" s="5"/>
      <c r="H96" s="5"/>
      <c r="I96" s="5"/>
      <c r="J96" s="5"/>
      <c r="K96" s="5"/>
    </row>
    <row r="97" spans="1:11" ht="15.75" customHeight="1" x14ac:dyDescent="0.25">
      <c r="A97" s="5"/>
      <c r="B97" s="5"/>
      <c r="C97" s="5"/>
      <c r="D97" s="5"/>
      <c r="E97" s="5"/>
      <c r="F97" s="5"/>
      <c r="G97" s="5"/>
      <c r="H97" s="5"/>
      <c r="I97" s="5"/>
      <c r="J97" s="5"/>
      <c r="K97" s="5"/>
    </row>
    <row r="98" spans="1:11" ht="15.75" customHeight="1" x14ac:dyDescent="0.25">
      <c r="A98" s="5"/>
      <c r="B98" s="5"/>
      <c r="C98" s="5"/>
      <c r="D98" s="5"/>
      <c r="E98" s="5"/>
      <c r="F98" s="5"/>
      <c r="G98" s="5"/>
      <c r="H98" s="5"/>
      <c r="I98" s="5"/>
      <c r="J98" s="5"/>
      <c r="K98" s="5"/>
    </row>
    <row r="99" spans="1:11" ht="15.75" customHeight="1" x14ac:dyDescent="0.25">
      <c r="A99" s="5"/>
      <c r="B99" s="5"/>
      <c r="C99" s="5"/>
      <c r="D99" s="5"/>
      <c r="E99" s="5"/>
      <c r="F99" s="5"/>
      <c r="G99" s="5"/>
      <c r="H99" s="5"/>
      <c r="I99" s="5"/>
      <c r="J99" s="5"/>
      <c r="K99" s="5"/>
    </row>
    <row r="100" spans="1:11" ht="15.75" customHeight="1" x14ac:dyDescent="0.25">
      <c r="A100" s="5"/>
      <c r="B100" s="5"/>
      <c r="C100" s="5"/>
      <c r="D100" s="5"/>
      <c r="E100" s="5"/>
      <c r="F100" s="5"/>
      <c r="G100" s="5"/>
      <c r="H100" s="5"/>
      <c r="I100" s="5"/>
      <c r="J100" s="5"/>
      <c r="K100" s="5"/>
    </row>
  </sheetData>
  <mergeCells count="8">
    <mergeCell ref="A5:G5"/>
    <mergeCell ref="A6:G6"/>
    <mergeCell ref="A18:A20"/>
    <mergeCell ref="G9:G12"/>
    <mergeCell ref="G13:G16"/>
    <mergeCell ref="G17:G20"/>
    <mergeCell ref="A10:A12"/>
    <mergeCell ref="A14:A16"/>
  </mergeCells>
  <pageMargins left="0.7" right="0.7" top="0.75" bottom="0.75" header="0" footer="0"/>
  <pageSetup orientation="landscape"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FFFF"/>
  </sheetPr>
  <dimension ref="A1:K98"/>
  <sheetViews>
    <sheetView workbookViewId="0">
      <selection activeCell="A9" sqref="A9:G12"/>
    </sheetView>
  </sheetViews>
  <sheetFormatPr defaultColWidth="14.42578125" defaultRowHeight="15" customHeight="1" x14ac:dyDescent="0.25"/>
  <cols>
    <col min="1" max="1" width="5.7109375" customWidth="1"/>
    <col min="2" max="2" width="26.28515625" customWidth="1"/>
    <col min="3" max="3" width="53.7109375" customWidth="1"/>
    <col min="4" max="4" width="12.140625" customWidth="1"/>
    <col min="5" max="5" width="9.5703125" customWidth="1"/>
    <col min="6" max="6" width="17.85546875" customWidth="1"/>
    <col min="7" max="7" width="11.28515625" customWidth="1"/>
    <col min="8" max="11" width="8" customWidth="1"/>
  </cols>
  <sheetData>
    <row r="1" spans="1:11" ht="15.75" customHeight="1" x14ac:dyDescent="0.25">
      <c r="A1" s="1" t="str">
        <f>'3.Tổng hợp chi phí phần mềm'!A1</f>
        <v>VIỄN THÔNG KHÁNH HÒA</v>
      </c>
      <c r="B1" s="4"/>
      <c r="C1" s="4"/>
      <c r="D1" s="4"/>
      <c r="E1" s="4"/>
      <c r="F1" s="5"/>
      <c r="G1" s="5"/>
      <c r="H1" s="5"/>
      <c r="I1" s="5"/>
      <c r="J1" s="5"/>
      <c r="K1" s="5"/>
    </row>
    <row r="2" spans="1:11" ht="15.75" customHeight="1" x14ac:dyDescent="0.25">
      <c r="A2" s="1" t="str">
        <f>'3.Tổng hợp chi phí phần mềm'!A2</f>
        <v>TRUNG TÂM CÔNG NGHỆ THÔNG TIN</v>
      </c>
      <c r="B2" s="4"/>
      <c r="C2" s="4"/>
      <c r="D2" s="4"/>
      <c r="E2" s="4"/>
      <c r="F2" s="5"/>
      <c r="G2" s="5"/>
      <c r="H2" s="5"/>
      <c r="I2" s="5"/>
      <c r="J2" s="5"/>
      <c r="K2" s="5"/>
    </row>
    <row r="3" spans="1:11" ht="15.75" customHeight="1" x14ac:dyDescent="0.25">
      <c r="A3" s="1"/>
      <c r="B3" s="65"/>
      <c r="C3" s="65"/>
      <c r="D3" s="65"/>
      <c r="E3" s="65"/>
      <c r="F3" s="65"/>
      <c r="G3" s="65"/>
      <c r="H3" s="65"/>
      <c r="I3" s="65"/>
      <c r="J3" s="65"/>
      <c r="K3" s="65"/>
    </row>
    <row r="4" spans="1:11" ht="15.75" customHeight="1" x14ac:dyDescent="0.25">
      <c r="A4" s="1"/>
      <c r="B4" s="65"/>
      <c r="C4" s="65"/>
      <c r="D4" s="65"/>
      <c r="E4" s="65"/>
      <c r="F4" s="65"/>
      <c r="G4" s="65"/>
      <c r="H4" s="65"/>
      <c r="I4" s="65"/>
      <c r="J4" s="65"/>
      <c r="K4" s="65"/>
    </row>
    <row r="5" spans="1:11" ht="54" customHeight="1" x14ac:dyDescent="0.25">
      <c r="A5" s="295" t="s">
        <v>104</v>
      </c>
      <c r="B5" s="281"/>
      <c r="C5" s="281"/>
      <c r="D5" s="281"/>
      <c r="E5" s="281"/>
      <c r="F5" s="281"/>
      <c r="G5" s="281"/>
      <c r="H5" s="65"/>
      <c r="I5" s="65"/>
      <c r="J5" s="65"/>
      <c r="K5" s="65"/>
    </row>
    <row r="6" spans="1:11" ht="27" customHeight="1" x14ac:dyDescent="0.25">
      <c r="A6" s="296" t="str">
        <f>'3.Tổng hợp chi phí phần mềm'!A6:F6</f>
        <v>Phần mềm Hệ thống thông tin báo cáo - Sở Du lịch KHA</v>
      </c>
      <c r="B6" s="281"/>
      <c r="C6" s="281"/>
      <c r="D6" s="281"/>
      <c r="E6" s="281"/>
      <c r="F6" s="281"/>
      <c r="G6" s="281"/>
      <c r="H6" s="65"/>
      <c r="I6" s="65"/>
      <c r="J6" s="65"/>
      <c r="K6" s="65"/>
    </row>
    <row r="7" spans="1:11" ht="15.75" customHeight="1" x14ac:dyDescent="0.25">
      <c r="A7" s="6"/>
      <c r="B7" s="65"/>
      <c r="C7" s="65"/>
      <c r="D7" s="65"/>
      <c r="E7" s="65"/>
      <c r="F7" s="65"/>
      <c r="G7" s="65"/>
      <c r="H7" s="65"/>
      <c r="I7" s="65"/>
      <c r="J7" s="65"/>
      <c r="K7" s="65"/>
    </row>
    <row r="8" spans="1:11" ht="39" customHeight="1" x14ac:dyDescent="0.25">
      <c r="A8" s="66" t="s">
        <v>16</v>
      </c>
      <c r="B8" s="66" t="s">
        <v>105</v>
      </c>
      <c r="C8" s="66" t="s">
        <v>98</v>
      </c>
      <c r="D8" s="66" t="s">
        <v>106</v>
      </c>
      <c r="E8" s="66" t="s">
        <v>95</v>
      </c>
      <c r="F8" s="8" t="s">
        <v>107</v>
      </c>
      <c r="G8" s="66" t="s">
        <v>19</v>
      </c>
      <c r="H8" s="65"/>
      <c r="I8" s="65"/>
      <c r="J8" s="65"/>
      <c r="K8" s="65"/>
    </row>
    <row r="9" spans="1:11" ht="27" customHeight="1" x14ac:dyDescent="0.25">
      <c r="A9" s="67">
        <v>1</v>
      </c>
      <c r="B9" s="30" t="s">
        <v>108</v>
      </c>
      <c r="C9" s="30" t="s">
        <v>109</v>
      </c>
      <c r="D9" s="26">
        <v>0</v>
      </c>
      <c r="E9" s="26">
        <v>1</v>
      </c>
      <c r="F9" s="26">
        <f t="shared" ref="F9:F11" si="0">D9*E9</f>
        <v>0</v>
      </c>
      <c r="G9" s="30"/>
      <c r="H9" s="65"/>
      <c r="I9" s="65"/>
      <c r="J9" s="65"/>
      <c r="K9" s="65"/>
    </row>
    <row r="10" spans="1:11" ht="27" customHeight="1" x14ac:dyDescent="0.25">
      <c r="A10" s="67">
        <v>2</v>
      </c>
      <c r="B10" s="30" t="s">
        <v>110</v>
      </c>
      <c r="C10" s="30" t="s">
        <v>111</v>
      </c>
      <c r="D10" s="26">
        <v>0</v>
      </c>
      <c r="E10" s="26">
        <v>2</v>
      </c>
      <c r="F10" s="26">
        <f t="shared" si="0"/>
        <v>0</v>
      </c>
      <c r="G10" s="30"/>
      <c r="H10" s="65"/>
      <c r="I10" s="65"/>
      <c r="J10" s="65"/>
      <c r="K10" s="65"/>
    </row>
    <row r="11" spans="1:11" ht="27" customHeight="1" x14ac:dyDescent="0.25">
      <c r="A11" s="67">
        <v>3</v>
      </c>
      <c r="B11" s="30" t="s">
        <v>112</v>
      </c>
      <c r="C11" s="30" t="s">
        <v>113</v>
      </c>
      <c r="D11" s="9">
        <v>2</v>
      </c>
      <c r="E11" s="26">
        <v>3</v>
      </c>
      <c r="F11" s="26">
        <f t="shared" si="0"/>
        <v>6</v>
      </c>
      <c r="G11" s="30"/>
      <c r="H11" s="65"/>
      <c r="I11" s="65"/>
      <c r="J11" s="65"/>
      <c r="K11" s="65"/>
    </row>
    <row r="12" spans="1:11" ht="27" customHeight="1" x14ac:dyDescent="0.25">
      <c r="A12" s="68"/>
      <c r="B12" s="68" t="s">
        <v>102</v>
      </c>
      <c r="C12" s="63" t="s">
        <v>114</v>
      </c>
      <c r="D12" s="68"/>
      <c r="E12" s="68"/>
      <c r="F12" s="63">
        <f>SUM(F9:F11)</f>
        <v>6</v>
      </c>
      <c r="G12" s="68"/>
      <c r="H12" s="65"/>
      <c r="I12" s="65"/>
      <c r="J12" s="65"/>
      <c r="K12" s="65"/>
    </row>
    <row r="13" spans="1:11" ht="27" customHeight="1" x14ac:dyDescent="0.25">
      <c r="A13" s="65"/>
      <c r="B13" s="65"/>
      <c r="C13" s="65"/>
      <c r="D13" s="65"/>
      <c r="E13" s="65"/>
      <c r="F13" s="65"/>
      <c r="G13" s="65"/>
      <c r="H13" s="65"/>
      <c r="I13" s="65"/>
      <c r="J13" s="65"/>
      <c r="K13" s="65"/>
    </row>
    <row r="14" spans="1:11" ht="27" customHeight="1" x14ac:dyDescent="0.25">
      <c r="A14" s="69" t="s">
        <v>2</v>
      </c>
      <c r="B14" s="66" t="s">
        <v>115</v>
      </c>
      <c r="C14" s="66" t="s">
        <v>105</v>
      </c>
      <c r="D14" s="65"/>
      <c r="E14" s="65"/>
      <c r="F14" s="65"/>
      <c r="G14" s="65"/>
      <c r="H14" s="65"/>
      <c r="I14" s="65"/>
      <c r="J14" s="65"/>
      <c r="K14" s="65"/>
    </row>
    <row r="15" spans="1:11" ht="15.75" x14ac:dyDescent="0.25">
      <c r="A15" s="171">
        <v>1</v>
      </c>
      <c r="B15" s="172" t="s">
        <v>243</v>
      </c>
      <c r="C15" s="173" t="s">
        <v>85</v>
      </c>
      <c r="D15" s="65"/>
      <c r="E15" s="65"/>
      <c r="F15" s="65"/>
      <c r="G15" s="65"/>
      <c r="H15" s="65"/>
      <c r="I15" s="65"/>
      <c r="J15" s="65"/>
      <c r="K15" s="65"/>
    </row>
    <row r="16" spans="1:11" ht="15.75" x14ac:dyDescent="0.25">
      <c r="A16" s="153">
        <v>2</v>
      </c>
      <c r="B16" s="174" t="s">
        <v>245</v>
      </c>
      <c r="C16" s="160" t="s">
        <v>85</v>
      </c>
      <c r="D16" s="65"/>
      <c r="E16" s="65"/>
      <c r="F16" s="65"/>
      <c r="G16" s="65"/>
      <c r="H16" s="65"/>
      <c r="I16" s="65"/>
      <c r="J16" s="65"/>
      <c r="K16" s="65"/>
    </row>
    <row r="17" spans="1:11" ht="15.75" customHeight="1" x14ac:dyDescent="0.25">
      <c r="A17" s="65"/>
      <c r="B17" s="65"/>
      <c r="C17" s="65"/>
      <c r="D17" s="65"/>
      <c r="E17" s="65"/>
      <c r="F17" s="65"/>
      <c r="G17" s="65"/>
      <c r="H17" s="65"/>
      <c r="I17" s="65"/>
      <c r="J17" s="65"/>
      <c r="K17" s="65"/>
    </row>
    <row r="18" spans="1:11" ht="15.75" customHeight="1" x14ac:dyDescent="0.25">
      <c r="A18" s="65"/>
      <c r="B18" s="65"/>
      <c r="C18" s="65"/>
      <c r="D18" s="65"/>
      <c r="E18" s="65"/>
      <c r="F18" s="65"/>
      <c r="G18" s="65"/>
      <c r="H18" s="65"/>
      <c r="I18" s="65"/>
      <c r="J18" s="65"/>
      <c r="K18" s="65"/>
    </row>
    <row r="19" spans="1:11" ht="15.75" customHeight="1" x14ac:dyDescent="0.25">
      <c r="A19" s="65"/>
      <c r="B19" s="65"/>
      <c r="C19" s="65"/>
      <c r="D19" s="65"/>
      <c r="E19" s="65"/>
      <c r="F19" s="65"/>
      <c r="G19" s="65"/>
      <c r="H19" s="65"/>
      <c r="I19" s="65"/>
      <c r="J19" s="65"/>
      <c r="K19" s="65"/>
    </row>
    <row r="20" spans="1:11" ht="15.75" customHeight="1" x14ac:dyDescent="0.25">
      <c r="A20" s="65"/>
      <c r="B20" s="65"/>
      <c r="C20" s="65"/>
      <c r="D20" s="65"/>
      <c r="E20" s="65"/>
      <c r="F20" s="65"/>
      <c r="G20" s="65"/>
      <c r="H20" s="65"/>
      <c r="I20" s="65"/>
      <c r="J20" s="65"/>
      <c r="K20" s="65"/>
    </row>
    <row r="21" spans="1:11" ht="15.75" customHeight="1" x14ac:dyDescent="0.25">
      <c r="A21" s="65"/>
      <c r="B21" s="65"/>
      <c r="C21" s="65"/>
      <c r="D21" s="65"/>
      <c r="E21" s="65"/>
      <c r="F21" s="65"/>
      <c r="G21" s="65"/>
      <c r="H21" s="65"/>
      <c r="I21" s="65"/>
      <c r="J21" s="65"/>
      <c r="K21" s="65"/>
    </row>
    <row r="22" spans="1:11" ht="15.75" customHeight="1" x14ac:dyDescent="0.25">
      <c r="A22" s="65"/>
      <c r="B22" s="65"/>
      <c r="C22" s="65"/>
      <c r="D22" s="65"/>
      <c r="E22" s="65"/>
      <c r="F22" s="65"/>
      <c r="G22" s="65"/>
      <c r="H22" s="65"/>
      <c r="I22" s="65"/>
      <c r="J22" s="65"/>
      <c r="K22" s="65"/>
    </row>
    <row r="23" spans="1:11" ht="15.75" customHeight="1" x14ac:dyDescent="0.25">
      <c r="A23" s="65"/>
      <c r="B23" s="65"/>
      <c r="C23" s="65"/>
      <c r="D23" s="65"/>
      <c r="E23" s="65"/>
      <c r="F23" s="65"/>
      <c r="G23" s="65"/>
      <c r="H23" s="65"/>
      <c r="I23" s="65"/>
      <c r="J23" s="65"/>
      <c r="K23" s="65"/>
    </row>
    <row r="24" spans="1:11" ht="15.75" customHeight="1" x14ac:dyDescent="0.25">
      <c r="A24" s="65"/>
      <c r="B24" s="65"/>
      <c r="C24" s="65"/>
      <c r="D24" s="65"/>
      <c r="E24" s="65"/>
      <c r="F24" s="65"/>
      <c r="G24" s="65"/>
      <c r="H24" s="65"/>
      <c r="I24" s="65"/>
      <c r="J24" s="65"/>
      <c r="K24" s="65"/>
    </row>
    <row r="25" spans="1:11" ht="15.75" customHeight="1" x14ac:dyDescent="0.25">
      <c r="A25" s="65"/>
      <c r="B25" s="65"/>
      <c r="C25" s="65"/>
      <c r="D25" s="65"/>
      <c r="E25" s="65"/>
      <c r="F25" s="65"/>
      <c r="G25" s="65"/>
      <c r="H25" s="65"/>
      <c r="I25" s="65"/>
      <c r="J25" s="65"/>
      <c r="K25" s="65"/>
    </row>
    <row r="26" spans="1:11" ht="15.75" customHeight="1" x14ac:dyDescent="0.25">
      <c r="A26" s="65"/>
      <c r="B26" s="65"/>
      <c r="C26" s="65"/>
      <c r="D26" s="65"/>
      <c r="E26" s="65"/>
      <c r="F26" s="65"/>
      <c r="G26" s="65"/>
      <c r="H26" s="65"/>
      <c r="I26" s="65"/>
      <c r="J26" s="65"/>
      <c r="K26" s="65"/>
    </row>
    <row r="27" spans="1:11" ht="15.75" customHeight="1" x14ac:dyDescent="0.25">
      <c r="A27" s="65"/>
      <c r="B27" s="65"/>
      <c r="C27" s="65"/>
      <c r="D27" s="65"/>
      <c r="E27" s="65"/>
      <c r="F27" s="65"/>
      <c r="G27" s="65"/>
      <c r="H27" s="65"/>
      <c r="I27" s="65"/>
      <c r="J27" s="65"/>
      <c r="K27" s="65"/>
    </row>
    <row r="28" spans="1:11" ht="15.75" customHeight="1" x14ac:dyDescent="0.25">
      <c r="A28" s="65"/>
      <c r="B28" s="65"/>
      <c r="C28" s="65"/>
      <c r="D28" s="65"/>
      <c r="E28" s="65"/>
      <c r="F28" s="65"/>
      <c r="G28" s="65"/>
      <c r="H28" s="65"/>
      <c r="I28" s="65"/>
      <c r="J28" s="65"/>
      <c r="K28" s="65"/>
    </row>
    <row r="29" spans="1:11" ht="15.75" customHeight="1" x14ac:dyDescent="0.25">
      <c r="A29" s="65"/>
      <c r="B29" s="65"/>
      <c r="C29" s="65"/>
      <c r="D29" s="65"/>
      <c r="E29" s="65"/>
      <c r="F29" s="65"/>
      <c r="G29" s="65"/>
      <c r="H29" s="65"/>
      <c r="I29" s="65"/>
      <c r="J29" s="65"/>
      <c r="K29" s="65"/>
    </row>
    <row r="30" spans="1:11" ht="15.75" customHeight="1" x14ac:dyDescent="0.25">
      <c r="A30" s="65"/>
      <c r="B30" s="65"/>
      <c r="C30" s="65"/>
      <c r="D30" s="65"/>
      <c r="E30" s="65"/>
      <c r="F30" s="65"/>
      <c r="G30" s="65"/>
      <c r="H30" s="65"/>
      <c r="I30" s="65"/>
      <c r="J30" s="65"/>
      <c r="K30" s="65"/>
    </row>
    <row r="31" spans="1:11" ht="15.75" customHeight="1" x14ac:dyDescent="0.25">
      <c r="A31" s="65"/>
      <c r="B31" s="65"/>
      <c r="C31" s="65"/>
      <c r="D31" s="65"/>
      <c r="E31" s="65"/>
      <c r="F31" s="65"/>
      <c r="G31" s="65"/>
      <c r="H31" s="65"/>
      <c r="I31" s="65"/>
      <c r="J31" s="65"/>
      <c r="K31" s="65"/>
    </row>
    <row r="32" spans="1:11" ht="15.75" customHeight="1" x14ac:dyDescent="0.25">
      <c r="A32" s="65"/>
      <c r="B32" s="65"/>
      <c r="C32" s="65"/>
      <c r="D32" s="65"/>
      <c r="E32" s="65"/>
      <c r="F32" s="65"/>
      <c r="G32" s="65"/>
      <c r="H32" s="65"/>
      <c r="I32" s="65"/>
      <c r="J32" s="65"/>
      <c r="K32" s="65"/>
    </row>
    <row r="33" spans="1:11" ht="15.75" customHeight="1" x14ac:dyDescent="0.25">
      <c r="A33" s="65"/>
      <c r="B33" s="65"/>
      <c r="C33" s="65"/>
      <c r="D33" s="65"/>
      <c r="E33" s="65"/>
      <c r="F33" s="65"/>
      <c r="G33" s="65"/>
      <c r="H33" s="65"/>
      <c r="I33" s="65"/>
      <c r="J33" s="65"/>
      <c r="K33" s="65"/>
    </row>
    <row r="34" spans="1:11" ht="15.75" customHeight="1" x14ac:dyDescent="0.25">
      <c r="A34" s="65"/>
      <c r="B34" s="65"/>
      <c r="C34" s="65"/>
      <c r="D34" s="65"/>
      <c r="E34" s="65"/>
      <c r="F34" s="65"/>
      <c r="G34" s="65"/>
      <c r="H34" s="65"/>
      <c r="I34" s="65"/>
      <c r="J34" s="65"/>
      <c r="K34" s="65"/>
    </row>
    <row r="35" spans="1:11" ht="15.75" customHeight="1" x14ac:dyDescent="0.25">
      <c r="A35" s="65"/>
      <c r="B35" s="65"/>
      <c r="C35" s="65"/>
      <c r="D35" s="65"/>
      <c r="E35" s="65"/>
      <c r="F35" s="65"/>
      <c r="G35" s="65"/>
      <c r="H35" s="65"/>
      <c r="I35" s="65"/>
      <c r="J35" s="65"/>
      <c r="K35" s="65"/>
    </row>
    <row r="36" spans="1:11" ht="15.75" customHeight="1" x14ac:dyDescent="0.25">
      <c r="A36" s="65"/>
      <c r="B36" s="65"/>
      <c r="C36" s="65"/>
      <c r="D36" s="65"/>
      <c r="E36" s="65"/>
      <c r="F36" s="65"/>
      <c r="G36" s="65"/>
      <c r="H36" s="65"/>
      <c r="I36" s="65"/>
      <c r="J36" s="65"/>
      <c r="K36" s="65"/>
    </row>
    <row r="37" spans="1:11" ht="15.75" customHeight="1" x14ac:dyDescent="0.25">
      <c r="A37" s="65"/>
      <c r="B37" s="65"/>
      <c r="C37" s="65"/>
      <c r="D37" s="65"/>
      <c r="E37" s="65"/>
      <c r="F37" s="65"/>
      <c r="G37" s="65"/>
      <c r="H37" s="65"/>
      <c r="I37" s="65"/>
      <c r="J37" s="65"/>
      <c r="K37" s="65"/>
    </row>
    <row r="38" spans="1:11" ht="15.75" customHeight="1" x14ac:dyDescent="0.25">
      <c r="A38" s="65"/>
      <c r="B38" s="65"/>
      <c r="C38" s="65"/>
      <c r="D38" s="65"/>
      <c r="E38" s="65"/>
      <c r="F38" s="65"/>
      <c r="G38" s="65"/>
      <c r="H38" s="65"/>
      <c r="I38" s="65"/>
      <c r="J38" s="65"/>
      <c r="K38" s="65"/>
    </row>
    <row r="39" spans="1:11" ht="15.75" customHeight="1" x14ac:dyDescent="0.25">
      <c r="A39" s="65"/>
      <c r="B39" s="65"/>
      <c r="C39" s="65"/>
      <c r="D39" s="65"/>
      <c r="E39" s="65"/>
      <c r="F39" s="65"/>
      <c r="G39" s="65"/>
      <c r="H39" s="65"/>
      <c r="I39" s="65"/>
      <c r="J39" s="65"/>
      <c r="K39" s="65"/>
    </row>
    <row r="40" spans="1:11" ht="15.75" customHeight="1" x14ac:dyDescent="0.25">
      <c r="A40" s="65"/>
      <c r="B40" s="65"/>
      <c r="C40" s="65"/>
      <c r="D40" s="65"/>
      <c r="E40" s="65"/>
      <c r="F40" s="65"/>
      <c r="G40" s="65"/>
      <c r="H40" s="65"/>
      <c r="I40" s="65"/>
      <c r="J40" s="65"/>
      <c r="K40" s="65"/>
    </row>
    <row r="41" spans="1:11" ht="15.75" customHeight="1" x14ac:dyDescent="0.25">
      <c r="A41" s="65"/>
      <c r="B41" s="65"/>
      <c r="C41" s="65"/>
      <c r="D41" s="65"/>
      <c r="E41" s="65"/>
      <c r="F41" s="65"/>
      <c r="G41" s="65"/>
      <c r="H41" s="65"/>
      <c r="I41" s="65"/>
      <c r="J41" s="65"/>
      <c r="K41" s="65"/>
    </row>
    <row r="42" spans="1:11" ht="15.75" customHeight="1" x14ac:dyDescent="0.25">
      <c r="A42" s="65"/>
      <c r="B42" s="65"/>
      <c r="C42" s="65"/>
      <c r="D42" s="65"/>
      <c r="E42" s="65"/>
      <c r="F42" s="65"/>
      <c r="G42" s="65"/>
      <c r="H42" s="65"/>
      <c r="I42" s="65"/>
      <c r="J42" s="65"/>
      <c r="K42" s="65"/>
    </row>
    <row r="43" spans="1:11" ht="15.75" customHeight="1" x14ac:dyDescent="0.25">
      <c r="A43" s="65"/>
      <c r="B43" s="65"/>
      <c r="C43" s="65"/>
      <c r="D43" s="65"/>
      <c r="E43" s="65"/>
      <c r="F43" s="65"/>
      <c r="G43" s="65"/>
      <c r="H43" s="65"/>
      <c r="I43" s="65"/>
      <c r="J43" s="65"/>
      <c r="K43" s="65"/>
    </row>
    <row r="44" spans="1:11" ht="15.75" customHeight="1" x14ac:dyDescent="0.25">
      <c r="A44" s="65"/>
      <c r="B44" s="65"/>
      <c r="C44" s="65"/>
      <c r="D44" s="65"/>
      <c r="E44" s="65"/>
      <c r="F44" s="65"/>
      <c r="G44" s="65"/>
      <c r="H44" s="65"/>
      <c r="I44" s="65"/>
      <c r="J44" s="65"/>
      <c r="K44" s="65"/>
    </row>
    <row r="45" spans="1:11" ht="15.75" customHeight="1" x14ac:dyDescent="0.25">
      <c r="A45" s="65"/>
      <c r="B45" s="65"/>
      <c r="C45" s="65"/>
      <c r="D45" s="65"/>
      <c r="E45" s="65"/>
      <c r="F45" s="65"/>
      <c r="G45" s="65"/>
      <c r="H45" s="65"/>
      <c r="I45" s="65"/>
      <c r="J45" s="65"/>
      <c r="K45" s="65"/>
    </row>
    <row r="46" spans="1:11" ht="15.75" customHeight="1" x14ac:dyDescent="0.25">
      <c r="A46" s="65"/>
      <c r="B46" s="65"/>
      <c r="C46" s="65"/>
      <c r="D46" s="65"/>
      <c r="E46" s="65"/>
      <c r="F46" s="65"/>
      <c r="G46" s="65"/>
      <c r="H46" s="65"/>
      <c r="I46" s="65"/>
      <c r="J46" s="65"/>
      <c r="K46" s="65"/>
    </row>
    <row r="47" spans="1:11" ht="15.75" customHeight="1" x14ac:dyDescent="0.25">
      <c r="A47" s="65"/>
      <c r="B47" s="65"/>
      <c r="C47" s="65"/>
      <c r="D47" s="65"/>
      <c r="E47" s="65"/>
      <c r="F47" s="65"/>
      <c r="G47" s="65"/>
      <c r="H47" s="65"/>
      <c r="I47" s="65"/>
      <c r="J47" s="65"/>
      <c r="K47" s="65"/>
    </row>
    <row r="48" spans="1:11" ht="15.75" customHeight="1" x14ac:dyDescent="0.25">
      <c r="A48" s="65"/>
      <c r="B48" s="65"/>
      <c r="C48" s="65"/>
      <c r="D48" s="65"/>
      <c r="E48" s="65"/>
      <c r="F48" s="65"/>
      <c r="G48" s="65"/>
      <c r="H48" s="65"/>
      <c r="I48" s="65"/>
      <c r="J48" s="65"/>
      <c r="K48" s="65"/>
    </row>
    <row r="49" spans="1:11" ht="15.75" customHeight="1" x14ac:dyDescent="0.25">
      <c r="A49" s="65"/>
      <c r="B49" s="65"/>
      <c r="C49" s="65"/>
      <c r="D49" s="65"/>
      <c r="E49" s="65"/>
      <c r="F49" s="65"/>
      <c r="G49" s="65"/>
      <c r="H49" s="65"/>
      <c r="I49" s="65"/>
      <c r="J49" s="65"/>
      <c r="K49" s="65"/>
    </row>
    <row r="50" spans="1:11" ht="15.75" customHeight="1" x14ac:dyDescent="0.25">
      <c r="A50" s="65"/>
      <c r="B50" s="65"/>
      <c r="C50" s="65"/>
      <c r="D50" s="65"/>
      <c r="E50" s="65"/>
      <c r="F50" s="65"/>
      <c r="G50" s="65"/>
      <c r="H50" s="65"/>
      <c r="I50" s="65"/>
      <c r="J50" s="65"/>
      <c r="K50" s="65"/>
    </row>
    <row r="51" spans="1:11" ht="15.75" customHeight="1" x14ac:dyDescent="0.25">
      <c r="A51" s="65"/>
      <c r="B51" s="65"/>
      <c r="C51" s="65"/>
      <c r="D51" s="65"/>
      <c r="E51" s="65"/>
      <c r="F51" s="65"/>
      <c r="G51" s="65"/>
      <c r="H51" s="65"/>
      <c r="I51" s="65"/>
      <c r="J51" s="65"/>
      <c r="K51" s="65"/>
    </row>
    <row r="52" spans="1:11" ht="15.75" customHeight="1" x14ac:dyDescent="0.25">
      <c r="A52" s="65"/>
      <c r="B52" s="65"/>
      <c r="C52" s="65"/>
      <c r="D52" s="65"/>
      <c r="E52" s="65"/>
      <c r="F52" s="65"/>
      <c r="G52" s="65"/>
      <c r="H52" s="65"/>
      <c r="I52" s="65"/>
      <c r="J52" s="65"/>
      <c r="K52" s="65"/>
    </row>
    <row r="53" spans="1:11" ht="15.75" customHeight="1" x14ac:dyDescent="0.25">
      <c r="A53" s="65"/>
      <c r="B53" s="65"/>
      <c r="C53" s="65"/>
      <c r="D53" s="65"/>
      <c r="E53" s="65"/>
      <c r="F53" s="65"/>
      <c r="G53" s="65"/>
      <c r="H53" s="65"/>
      <c r="I53" s="65"/>
      <c r="J53" s="65"/>
      <c r="K53" s="65"/>
    </row>
    <row r="54" spans="1:11" ht="15.75" customHeight="1" x14ac:dyDescent="0.25">
      <c r="A54" s="65"/>
      <c r="B54" s="65"/>
      <c r="C54" s="65"/>
      <c r="D54" s="65"/>
      <c r="E54" s="65"/>
      <c r="F54" s="65"/>
      <c r="G54" s="65"/>
      <c r="H54" s="65"/>
      <c r="I54" s="65"/>
      <c r="J54" s="65"/>
      <c r="K54" s="65"/>
    </row>
    <row r="55" spans="1:11" ht="15.75" customHeight="1" x14ac:dyDescent="0.25">
      <c r="A55" s="65"/>
      <c r="B55" s="65"/>
      <c r="C55" s="65"/>
      <c r="D55" s="65"/>
      <c r="E55" s="65"/>
      <c r="F55" s="65"/>
      <c r="G55" s="65"/>
      <c r="H55" s="65"/>
      <c r="I55" s="65"/>
      <c r="J55" s="65"/>
      <c r="K55" s="65"/>
    </row>
    <row r="56" spans="1:11" ht="15.75" customHeight="1" x14ac:dyDescent="0.25">
      <c r="A56" s="65"/>
      <c r="B56" s="65"/>
      <c r="C56" s="65"/>
      <c r="D56" s="65"/>
      <c r="E56" s="65"/>
      <c r="F56" s="65"/>
      <c r="G56" s="65"/>
      <c r="H56" s="65"/>
      <c r="I56" s="65"/>
      <c r="J56" s="65"/>
      <c r="K56" s="65"/>
    </row>
    <row r="57" spans="1:11" ht="15.75" customHeight="1" x14ac:dyDescent="0.25">
      <c r="A57" s="65"/>
      <c r="B57" s="65"/>
      <c r="C57" s="65"/>
      <c r="D57" s="65"/>
      <c r="E57" s="65"/>
      <c r="F57" s="65"/>
      <c r="G57" s="65"/>
      <c r="H57" s="65"/>
      <c r="I57" s="65"/>
      <c r="J57" s="65"/>
      <c r="K57" s="65"/>
    </row>
    <row r="58" spans="1:11" ht="15.75" customHeight="1" x14ac:dyDescent="0.25">
      <c r="A58" s="65"/>
      <c r="B58" s="65"/>
      <c r="C58" s="65"/>
      <c r="D58" s="65"/>
      <c r="E58" s="65"/>
      <c r="F58" s="65"/>
      <c r="G58" s="65"/>
      <c r="H58" s="65"/>
      <c r="I58" s="65"/>
      <c r="J58" s="65"/>
      <c r="K58" s="65"/>
    </row>
    <row r="59" spans="1:11" ht="15.75" customHeight="1" x14ac:dyDescent="0.25">
      <c r="A59" s="65"/>
      <c r="B59" s="65"/>
      <c r="C59" s="65"/>
      <c r="D59" s="65"/>
      <c r="E59" s="65"/>
      <c r="F59" s="65"/>
      <c r="G59" s="65"/>
      <c r="H59" s="65"/>
      <c r="I59" s="65"/>
      <c r="J59" s="65"/>
      <c r="K59" s="65"/>
    </row>
    <row r="60" spans="1:11" ht="15.75" customHeight="1" x14ac:dyDescent="0.25">
      <c r="A60" s="65"/>
      <c r="B60" s="65"/>
      <c r="C60" s="65"/>
      <c r="D60" s="65"/>
      <c r="E60" s="65"/>
      <c r="F60" s="65"/>
      <c r="G60" s="65"/>
      <c r="H60" s="65"/>
      <c r="I60" s="65"/>
      <c r="J60" s="65"/>
      <c r="K60" s="65"/>
    </row>
    <row r="61" spans="1:11" ht="15.75" customHeight="1" x14ac:dyDescent="0.25">
      <c r="A61" s="65"/>
      <c r="B61" s="65"/>
      <c r="C61" s="65"/>
      <c r="D61" s="65"/>
      <c r="E61" s="65"/>
      <c r="F61" s="65"/>
      <c r="G61" s="65"/>
      <c r="H61" s="65"/>
      <c r="I61" s="65"/>
      <c r="J61" s="65"/>
      <c r="K61" s="65"/>
    </row>
    <row r="62" spans="1:11" ht="15.75" customHeight="1" x14ac:dyDescent="0.25">
      <c r="A62" s="65"/>
      <c r="B62" s="65"/>
      <c r="C62" s="65"/>
      <c r="D62" s="65"/>
      <c r="E62" s="65"/>
      <c r="F62" s="65"/>
      <c r="G62" s="65"/>
      <c r="H62" s="65"/>
      <c r="I62" s="65"/>
      <c r="J62" s="65"/>
      <c r="K62" s="65"/>
    </row>
    <row r="63" spans="1:11" ht="15.75" customHeight="1" x14ac:dyDescent="0.25">
      <c r="A63" s="65"/>
      <c r="B63" s="65"/>
      <c r="C63" s="65"/>
      <c r="D63" s="65"/>
      <c r="E63" s="65"/>
      <c r="F63" s="65"/>
      <c r="G63" s="65"/>
      <c r="H63" s="65"/>
      <c r="I63" s="65"/>
      <c r="J63" s="65"/>
      <c r="K63" s="65"/>
    </row>
    <row r="64" spans="1:11" ht="15.75" customHeight="1" x14ac:dyDescent="0.25">
      <c r="A64" s="65"/>
      <c r="B64" s="65"/>
      <c r="C64" s="65"/>
      <c r="D64" s="65"/>
      <c r="E64" s="65"/>
      <c r="F64" s="65"/>
      <c r="G64" s="65"/>
      <c r="H64" s="65"/>
      <c r="I64" s="65"/>
      <c r="J64" s="65"/>
      <c r="K64" s="65"/>
    </row>
    <row r="65" spans="1:11" ht="15.75" customHeight="1" x14ac:dyDescent="0.25">
      <c r="A65" s="65"/>
      <c r="B65" s="65"/>
      <c r="C65" s="65"/>
      <c r="D65" s="65"/>
      <c r="E65" s="65"/>
      <c r="F65" s="65"/>
      <c r="G65" s="65"/>
      <c r="H65" s="65"/>
      <c r="I65" s="65"/>
      <c r="J65" s="65"/>
      <c r="K65" s="65"/>
    </row>
    <row r="66" spans="1:11" ht="15.75" customHeight="1" x14ac:dyDescent="0.25">
      <c r="A66" s="65"/>
      <c r="B66" s="65"/>
      <c r="C66" s="65"/>
      <c r="D66" s="65"/>
      <c r="E66" s="65"/>
      <c r="F66" s="65"/>
      <c r="G66" s="65"/>
      <c r="H66" s="65"/>
      <c r="I66" s="65"/>
      <c r="J66" s="65"/>
      <c r="K66" s="65"/>
    </row>
    <row r="67" spans="1:11" ht="15.75" customHeight="1" x14ac:dyDescent="0.25">
      <c r="A67" s="65"/>
      <c r="B67" s="65"/>
      <c r="C67" s="65"/>
      <c r="D67" s="65"/>
      <c r="E67" s="65"/>
      <c r="F67" s="65"/>
      <c r="G67" s="65"/>
      <c r="H67" s="65"/>
      <c r="I67" s="65"/>
      <c r="J67" s="65"/>
      <c r="K67" s="65"/>
    </row>
    <row r="68" spans="1:11" ht="15.75" customHeight="1" x14ac:dyDescent="0.25">
      <c r="A68" s="65"/>
      <c r="B68" s="65"/>
      <c r="C68" s="65"/>
      <c r="D68" s="65"/>
      <c r="E68" s="65"/>
      <c r="F68" s="65"/>
      <c r="G68" s="65"/>
      <c r="H68" s="65"/>
      <c r="I68" s="65"/>
      <c r="J68" s="65"/>
      <c r="K68" s="65"/>
    </row>
    <row r="69" spans="1:11" ht="15.75" customHeight="1" x14ac:dyDescent="0.25">
      <c r="A69" s="65"/>
      <c r="B69" s="65"/>
      <c r="C69" s="65"/>
      <c r="D69" s="65"/>
      <c r="E69" s="65"/>
      <c r="F69" s="65"/>
      <c r="G69" s="65"/>
      <c r="H69" s="65"/>
      <c r="I69" s="65"/>
      <c r="J69" s="65"/>
      <c r="K69" s="65"/>
    </row>
    <row r="70" spans="1:11" ht="15.75" customHeight="1" x14ac:dyDescent="0.25">
      <c r="A70" s="65"/>
      <c r="B70" s="65"/>
      <c r="C70" s="65"/>
      <c r="D70" s="65"/>
      <c r="E70" s="65"/>
      <c r="F70" s="65"/>
      <c r="G70" s="65"/>
      <c r="H70" s="65"/>
      <c r="I70" s="65"/>
      <c r="J70" s="65"/>
      <c r="K70" s="65"/>
    </row>
    <row r="71" spans="1:11" ht="15.75" customHeight="1" x14ac:dyDescent="0.25">
      <c r="A71" s="65"/>
      <c r="B71" s="65"/>
      <c r="C71" s="65"/>
      <c r="D71" s="65"/>
      <c r="E71" s="65"/>
      <c r="F71" s="65"/>
      <c r="G71" s="65"/>
      <c r="H71" s="65"/>
      <c r="I71" s="65"/>
      <c r="J71" s="65"/>
      <c r="K71" s="65"/>
    </row>
    <row r="72" spans="1:11" ht="15.75" customHeight="1" x14ac:dyDescent="0.25">
      <c r="A72" s="65"/>
      <c r="B72" s="65"/>
      <c r="C72" s="65"/>
      <c r="D72" s="65"/>
      <c r="E72" s="65"/>
      <c r="F72" s="65"/>
      <c r="G72" s="65"/>
      <c r="H72" s="65"/>
      <c r="I72" s="65"/>
      <c r="J72" s="65"/>
      <c r="K72" s="65"/>
    </row>
    <row r="73" spans="1:11" ht="15.75" customHeight="1" x14ac:dyDescent="0.25">
      <c r="A73" s="65"/>
      <c r="B73" s="65"/>
      <c r="C73" s="65"/>
      <c r="D73" s="65"/>
      <c r="E73" s="65"/>
      <c r="F73" s="65"/>
      <c r="G73" s="65"/>
      <c r="H73" s="65"/>
      <c r="I73" s="65"/>
      <c r="J73" s="65"/>
      <c r="K73" s="65"/>
    </row>
    <row r="74" spans="1:11" ht="15.75" customHeight="1" x14ac:dyDescent="0.25">
      <c r="A74" s="65"/>
      <c r="B74" s="65"/>
      <c r="C74" s="65"/>
      <c r="D74" s="65"/>
      <c r="E74" s="65"/>
      <c r="F74" s="65"/>
      <c r="G74" s="65"/>
      <c r="H74" s="65"/>
      <c r="I74" s="65"/>
      <c r="J74" s="65"/>
      <c r="K74" s="65"/>
    </row>
    <row r="75" spans="1:11" ht="15.75" customHeight="1" x14ac:dyDescent="0.25">
      <c r="A75" s="65"/>
      <c r="B75" s="65"/>
      <c r="C75" s="65"/>
      <c r="D75" s="65"/>
      <c r="E75" s="65"/>
      <c r="F75" s="65"/>
      <c r="G75" s="65"/>
      <c r="H75" s="65"/>
      <c r="I75" s="65"/>
      <c r="J75" s="65"/>
      <c r="K75" s="65"/>
    </row>
    <row r="76" spans="1:11" ht="15.75" customHeight="1" x14ac:dyDescent="0.25">
      <c r="A76" s="65"/>
      <c r="B76" s="65"/>
      <c r="C76" s="65"/>
      <c r="D76" s="65"/>
      <c r="E76" s="65"/>
      <c r="F76" s="65"/>
      <c r="G76" s="65"/>
      <c r="H76" s="65"/>
      <c r="I76" s="65"/>
      <c r="J76" s="65"/>
      <c r="K76" s="65"/>
    </row>
    <row r="77" spans="1:11" ht="15.75" customHeight="1" x14ac:dyDescent="0.25">
      <c r="A77" s="65"/>
      <c r="B77" s="65"/>
      <c r="C77" s="65"/>
      <c r="D77" s="65"/>
      <c r="E77" s="65"/>
      <c r="F77" s="65"/>
      <c r="G77" s="65"/>
      <c r="H77" s="65"/>
      <c r="I77" s="65"/>
      <c r="J77" s="65"/>
      <c r="K77" s="65"/>
    </row>
    <row r="78" spans="1:11" ht="15.75" customHeight="1" x14ac:dyDescent="0.25">
      <c r="A78" s="65"/>
      <c r="B78" s="65"/>
      <c r="C78" s="65"/>
      <c r="D78" s="65"/>
      <c r="E78" s="65"/>
      <c r="F78" s="65"/>
      <c r="G78" s="65"/>
      <c r="H78" s="65"/>
      <c r="I78" s="65"/>
      <c r="J78" s="65"/>
      <c r="K78" s="65"/>
    </row>
    <row r="79" spans="1:11" ht="15.75" customHeight="1" x14ac:dyDescent="0.25">
      <c r="A79" s="65"/>
      <c r="B79" s="65"/>
      <c r="C79" s="65"/>
      <c r="D79" s="65"/>
      <c r="E79" s="65"/>
      <c r="F79" s="65"/>
      <c r="G79" s="65"/>
      <c r="H79" s="65"/>
      <c r="I79" s="65"/>
      <c r="J79" s="65"/>
      <c r="K79" s="65"/>
    </row>
    <row r="80" spans="1:11" ht="15.75" customHeight="1" x14ac:dyDescent="0.25">
      <c r="A80" s="65"/>
      <c r="B80" s="65"/>
      <c r="C80" s="65"/>
      <c r="D80" s="65"/>
      <c r="E80" s="65"/>
      <c r="F80" s="65"/>
      <c r="G80" s="65"/>
      <c r="H80" s="65"/>
      <c r="I80" s="65"/>
      <c r="J80" s="65"/>
      <c r="K80" s="65"/>
    </row>
    <row r="81" spans="1:11" ht="15.75" customHeight="1" x14ac:dyDescent="0.25">
      <c r="A81" s="65"/>
      <c r="B81" s="65"/>
      <c r="C81" s="65"/>
      <c r="D81" s="65"/>
      <c r="E81" s="65"/>
      <c r="F81" s="65"/>
      <c r="G81" s="65"/>
      <c r="H81" s="65"/>
      <c r="I81" s="65"/>
      <c r="J81" s="65"/>
      <c r="K81" s="65"/>
    </row>
    <row r="82" spans="1:11" ht="15.75" customHeight="1" x14ac:dyDescent="0.25">
      <c r="A82" s="65"/>
      <c r="B82" s="65"/>
      <c r="C82" s="65"/>
      <c r="D82" s="65"/>
      <c r="E82" s="65"/>
      <c r="F82" s="65"/>
      <c r="G82" s="65"/>
      <c r="H82" s="65"/>
      <c r="I82" s="65"/>
      <c r="J82" s="65"/>
      <c r="K82" s="65"/>
    </row>
    <row r="83" spans="1:11" ht="15.75" customHeight="1" x14ac:dyDescent="0.25">
      <c r="A83" s="65"/>
      <c r="B83" s="65"/>
      <c r="C83" s="65"/>
      <c r="D83" s="65"/>
      <c r="E83" s="65"/>
      <c r="F83" s="65"/>
      <c r="G83" s="65"/>
      <c r="H83" s="65"/>
      <c r="I83" s="65"/>
      <c r="J83" s="65"/>
      <c r="K83" s="65"/>
    </row>
    <row r="84" spans="1:11" ht="15.75" customHeight="1" x14ac:dyDescent="0.25">
      <c r="A84" s="65"/>
      <c r="B84" s="65"/>
      <c r="C84" s="65"/>
      <c r="D84" s="65"/>
      <c r="E84" s="65"/>
      <c r="F84" s="65"/>
      <c r="G84" s="65"/>
      <c r="H84" s="65"/>
      <c r="I84" s="65"/>
      <c r="J84" s="65"/>
      <c r="K84" s="65"/>
    </row>
    <row r="85" spans="1:11" ht="15.75" customHeight="1" x14ac:dyDescent="0.25">
      <c r="A85" s="65"/>
      <c r="B85" s="65"/>
      <c r="C85" s="65"/>
      <c r="D85" s="65"/>
      <c r="E85" s="65"/>
      <c r="F85" s="65"/>
      <c r="G85" s="65"/>
      <c r="H85" s="65"/>
      <c r="I85" s="65"/>
      <c r="J85" s="65"/>
      <c r="K85" s="65"/>
    </row>
    <row r="86" spans="1:11" ht="15.75" customHeight="1" x14ac:dyDescent="0.25">
      <c r="A86" s="65"/>
      <c r="B86" s="65"/>
      <c r="C86" s="65"/>
      <c r="D86" s="65"/>
      <c r="E86" s="65"/>
      <c r="F86" s="65"/>
      <c r="G86" s="65"/>
      <c r="H86" s="65"/>
      <c r="I86" s="65"/>
      <c r="J86" s="65"/>
      <c r="K86" s="65"/>
    </row>
    <row r="87" spans="1:11" ht="15.75" customHeight="1" x14ac:dyDescent="0.25">
      <c r="A87" s="65"/>
      <c r="B87" s="65"/>
      <c r="C87" s="65"/>
      <c r="D87" s="65"/>
      <c r="E87" s="65"/>
      <c r="F87" s="65"/>
      <c r="G87" s="65"/>
      <c r="H87" s="65"/>
      <c r="I87" s="65"/>
      <c r="J87" s="65"/>
      <c r="K87" s="65"/>
    </row>
    <row r="88" spans="1:11" ht="15.75" customHeight="1" x14ac:dyDescent="0.25">
      <c r="A88" s="65"/>
      <c r="B88" s="65"/>
      <c r="C88" s="65"/>
      <c r="D88" s="65"/>
      <c r="E88" s="65"/>
      <c r="F88" s="65"/>
      <c r="G88" s="65"/>
      <c r="H88" s="65"/>
      <c r="I88" s="65"/>
      <c r="J88" s="65"/>
      <c r="K88" s="65"/>
    </row>
    <row r="89" spans="1:11" ht="15.75" customHeight="1" x14ac:dyDescent="0.25">
      <c r="A89" s="65"/>
      <c r="B89" s="65"/>
      <c r="C89" s="65"/>
      <c r="D89" s="65"/>
      <c r="E89" s="65"/>
      <c r="F89" s="65"/>
      <c r="G89" s="65"/>
      <c r="H89" s="65"/>
      <c r="I89" s="65"/>
      <c r="J89" s="65"/>
      <c r="K89" s="65"/>
    </row>
    <row r="90" spans="1:11" ht="15.75" customHeight="1" x14ac:dyDescent="0.25">
      <c r="A90" s="65"/>
      <c r="B90" s="65"/>
      <c r="C90" s="65"/>
      <c r="D90" s="65"/>
      <c r="E90" s="65"/>
      <c r="F90" s="65"/>
      <c r="G90" s="65"/>
      <c r="H90" s="65"/>
      <c r="I90" s="65"/>
      <c r="J90" s="65"/>
      <c r="K90" s="65"/>
    </row>
    <row r="91" spans="1:11" ht="15.75" customHeight="1" x14ac:dyDescent="0.25">
      <c r="A91" s="65"/>
      <c r="B91" s="65"/>
      <c r="C91" s="65"/>
      <c r="D91" s="65"/>
      <c r="E91" s="65"/>
      <c r="F91" s="65"/>
      <c r="G91" s="65"/>
      <c r="H91" s="65"/>
      <c r="I91" s="65"/>
      <c r="J91" s="65"/>
      <c r="K91" s="65"/>
    </row>
    <row r="92" spans="1:11" ht="15.75" customHeight="1" x14ac:dyDescent="0.25">
      <c r="A92" s="65"/>
      <c r="B92" s="65"/>
      <c r="C92" s="65"/>
      <c r="D92" s="65"/>
      <c r="E92" s="65"/>
      <c r="F92" s="65"/>
      <c r="G92" s="65"/>
      <c r="H92" s="65"/>
      <c r="I92" s="65"/>
      <c r="J92" s="65"/>
      <c r="K92" s="65"/>
    </row>
    <row r="93" spans="1:11" ht="15.75" customHeight="1" x14ac:dyDescent="0.25">
      <c r="A93" s="65"/>
      <c r="B93" s="65"/>
      <c r="C93" s="65"/>
      <c r="D93" s="65"/>
      <c r="E93" s="65"/>
      <c r="F93" s="65"/>
      <c r="G93" s="65"/>
      <c r="H93" s="65"/>
      <c r="I93" s="65"/>
      <c r="J93" s="65"/>
      <c r="K93" s="65"/>
    </row>
    <row r="94" spans="1:11" ht="15.75" customHeight="1" x14ac:dyDescent="0.25">
      <c r="A94" s="65"/>
      <c r="B94" s="65"/>
      <c r="C94" s="65"/>
      <c r="D94" s="65"/>
      <c r="E94" s="65"/>
      <c r="F94" s="65"/>
      <c r="G94" s="65"/>
      <c r="H94" s="65"/>
      <c r="I94" s="65"/>
      <c r="J94" s="65"/>
      <c r="K94" s="65"/>
    </row>
    <row r="95" spans="1:11" ht="15.75" customHeight="1" x14ac:dyDescent="0.25">
      <c r="A95" s="65"/>
      <c r="B95" s="65"/>
      <c r="C95" s="65"/>
      <c r="D95" s="65"/>
      <c r="E95" s="65"/>
      <c r="F95" s="65"/>
      <c r="G95" s="65"/>
      <c r="H95" s="65"/>
      <c r="I95" s="65"/>
      <c r="J95" s="65"/>
      <c r="K95" s="65"/>
    </row>
    <row r="96" spans="1:11" ht="15.75" customHeight="1" x14ac:dyDescent="0.25">
      <c r="A96" s="65"/>
      <c r="B96" s="65"/>
      <c r="C96" s="65"/>
      <c r="D96" s="65"/>
      <c r="E96" s="65"/>
      <c r="F96" s="65"/>
      <c r="G96" s="65"/>
      <c r="H96" s="65"/>
      <c r="I96" s="65"/>
      <c r="J96" s="65"/>
      <c r="K96" s="65"/>
    </row>
    <row r="97" spans="1:11" ht="15.75" customHeight="1" x14ac:dyDescent="0.25">
      <c r="A97" s="65"/>
      <c r="B97" s="65"/>
      <c r="C97" s="65"/>
      <c r="D97" s="65"/>
      <c r="E97" s="65"/>
      <c r="F97" s="65"/>
      <c r="G97" s="65"/>
      <c r="H97" s="65"/>
      <c r="I97" s="65"/>
      <c r="J97" s="65"/>
      <c r="K97" s="65"/>
    </row>
    <row r="98" spans="1:11" ht="15.75" customHeight="1" x14ac:dyDescent="0.25">
      <c r="A98" s="65"/>
      <c r="B98" s="65"/>
      <c r="C98" s="65"/>
      <c r="D98" s="65"/>
      <c r="E98" s="65"/>
      <c r="F98" s="65"/>
      <c r="G98" s="65"/>
      <c r="H98" s="65"/>
      <c r="I98" s="65"/>
      <c r="J98" s="65"/>
      <c r="K98" s="65"/>
    </row>
  </sheetData>
  <mergeCells count="2">
    <mergeCell ref="A5:G5"/>
    <mergeCell ref="A6:G6"/>
  </mergeCells>
  <pageMargins left="0.7" right="0.7" top="0.75" bottom="0.75" header="0" footer="0"/>
  <pageSetup orientation="landscape"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CFFFF"/>
  </sheetPr>
  <dimension ref="A1:K100"/>
  <sheetViews>
    <sheetView topLeftCell="A25" workbookViewId="0">
      <selection activeCell="A9" sqref="A9:G23"/>
    </sheetView>
  </sheetViews>
  <sheetFormatPr defaultColWidth="14.42578125" defaultRowHeight="15" customHeight="1" x14ac:dyDescent="0.25"/>
  <cols>
    <col min="1" max="1" width="5.7109375" customWidth="1"/>
    <col min="2" max="2" width="52.5703125" customWidth="1"/>
    <col min="3" max="3" width="26.85546875" customWidth="1"/>
    <col min="4" max="5" width="10.5703125" customWidth="1"/>
    <col min="6" max="6" width="11.140625" customWidth="1"/>
    <col min="7" max="7" width="16.42578125" customWidth="1"/>
    <col min="8" max="8" width="18.5703125" customWidth="1"/>
    <col min="9" max="11" width="8" customWidth="1"/>
  </cols>
  <sheetData>
    <row r="1" spans="1:11" ht="15.75" customHeight="1" x14ac:dyDescent="0.25">
      <c r="A1" s="1" t="str">
        <f>'3.Tổng hợp chi phí phần mềm'!A1</f>
        <v>VIỄN THÔNG KHÁNH HÒA</v>
      </c>
      <c r="B1" s="4"/>
      <c r="C1" s="4"/>
      <c r="D1" s="4"/>
      <c r="E1" s="4"/>
      <c r="F1" s="5"/>
      <c r="G1" s="5"/>
      <c r="H1" s="5"/>
      <c r="I1" s="5"/>
      <c r="J1" s="5"/>
      <c r="K1" s="5"/>
    </row>
    <row r="2" spans="1:11" ht="15.75" customHeight="1" x14ac:dyDescent="0.25">
      <c r="A2" s="1" t="str">
        <f>'3.Tổng hợp chi phí phần mềm'!A2</f>
        <v>TRUNG TÂM CÔNG NGHỆ THÔNG TIN</v>
      </c>
      <c r="B2" s="4"/>
      <c r="C2" s="4"/>
      <c r="D2" s="4"/>
      <c r="E2" s="4"/>
      <c r="F2" s="5"/>
      <c r="G2" s="5"/>
      <c r="H2" s="5"/>
      <c r="I2" s="5"/>
      <c r="J2" s="5"/>
      <c r="K2" s="5"/>
    </row>
    <row r="3" spans="1:11" ht="15.75" customHeight="1" x14ac:dyDescent="0.25">
      <c r="A3" s="1"/>
      <c r="B3" s="5"/>
      <c r="C3" s="5"/>
      <c r="D3" s="5"/>
      <c r="E3" s="5"/>
      <c r="F3" s="39"/>
      <c r="G3" s="5"/>
      <c r="H3" s="5"/>
      <c r="I3" s="5"/>
      <c r="J3" s="5"/>
      <c r="K3" s="5"/>
    </row>
    <row r="4" spans="1:11" ht="15.75" customHeight="1" x14ac:dyDescent="0.25">
      <c r="A4" s="1"/>
      <c r="B4" s="5"/>
      <c r="C4" s="5"/>
      <c r="D4" s="5"/>
      <c r="E4" s="5"/>
      <c r="F4" s="39"/>
      <c r="G4" s="5"/>
      <c r="H4" s="5"/>
      <c r="I4" s="5"/>
      <c r="J4" s="5"/>
      <c r="K4" s="5"/>
    </row>
    <row r="5" spans="1:11" ht="27" customHeight="1" x14ac:dyDescent="0.25">
      <c r="A5" s="295" t="s">
        <v>116</v>
      </c>
      <c r="B5" s="281"/>
      <c r="C5" s="281"/>
      <c r="D5" s="281"/>
      <c r="E5" s="281"/>
      <c r="F5" s="281"/>
      <c r="G5" s="281"/>
      <c r="H5" s="71"/>
      <c r="I5" s="5"/>
      <c r="J5" s="5"/>
      <c r="K5" s="5"/>
    </row>
    <row r="6" spans="1:11" ht="27" customHeight="1" x14ac:dyDescent="0.25">
      <c r="A6" s="282" t="str">
        <f>'3.Tổng hợp chi phí phần mềm'!A6:F6</f>
        <v>Phần mềm Hệ thống thông tin báo cáo - Sở Du lịch KHA</v>
      </c>
      <c r="B6" s="281"/>
      <c r="C6" s="281"/>
      <c r="D6" s="281"/>
      <c r="E6" s="281"/>
      <c r="F6" s="281"/>
      <c r="G6" s="281"/>
      <c r="H6" s="5"/>
      <c r="I6" s="5"/>
      <c r="J6" s="5"/>
      <c r="K6" s="5"/>
    </row>
    <row r="7" spans="1:11" ht="15.75" customHeight="1" x14ac:dyDescent="0.25">
      <c r="A7" s="39"/>
      <c r="B7" s="5"/>
      <c r="C7" s="6"/>
      <c r="D7" s="5"/>
      <c r="E7" s="5"/>
      <c r="F7" s="39"/>
      <c r="G7" s="5"/>
      <c r="H7" s="5"/>
      <c r="I7" s="5"/>
      <c r="J7" s="5"/>
      <c r="K7" s="5"/>
    </row>
    <row r="8" spans="1:11" ht="39" customHeight="1" x14ac:dyDescent="0.25">
      <c r="A8" s="66" t="s">
        <v>33</v>
      </c>
      <c r="B8" s="66" t="s">
        <v>117</v>
      </c>
      <c r="C8" s="8" t="s">
        <v>118</v>
      </c>
      <c r="D8" s="8" t="s">
        <v>119</v>
      </c>
      <c r="E8" s="8" t="s">
        <v>95</v>
      </c>
      <c r="F8" s="8" t="s">
        <v>120</v>
      </c>
      <c r="G8" s="8" t="s">
        <v>19</v>
      </c>
      <c r="H8" s="5"/>
      <c r="I8" s="5"/>
      <c r="J8" s="5"/>
      <c r="K8" s="5"/>
    </row>
    <row r="9" spans="1:11" ht="27" customHeight="1" x14ac:dyDescent="0.25">
      <c r="A9" s="24" t="s">
        <v>6</v>
      </c>
      <c r="B9" s="72" t="s">
        <v>121</v>
      </c>
      <c r="C9" s="72"/>
      <c r="D9" s="73"/>
      <c r="E9" s="74"/>
      <c r="F9" s="75">
        <f>SUM(F10:F22)</f>
        <v>29</v>
      </c>
      <c r="G9" s="73"/>
      <c r="H9" s="5"/>
      <c r="I9" s="5"/>
      <c r="J9" s="5"/>
      <c r="K9" s="5"/>
    </row>
    <row r="10" spans="1:11" ht="27" customHeight="1" x14ac:dyDescent="0.25">
      <c r="A10" s="34">
        <v>1</v>
      </c>
      <c r="B10" s="10" t="s">
        <v>122</v>
      </c>
      <c r="C10" s="283" t="s">
        <v>123</v>
      </c>
      <c r="D10" s="76">
        <v>1</v>
      </c>
      <c r="E10" s="77">
        <v>3</v>
      </c>
      <c r="F10" s="78">
        <f t="shared" ref="F10:F22" si="0">D10*E10</f>
        <v>3</v>
      </c>
      <c r="G10" s="70"/>
      <c r="H10" s="5"/>
      <c r="I10" s="5"/>
      <c r="J10" s="5"/>
      <c r="K10" s="5"/>
    </row>
    <row r="11" spans="1:11" ht="39" customHeight="1" x14ac:dyDescent="0.25">
      <c r="A11" s="34">
        <v>2</v>
      </c>
      <c r="B11" s="10" t="s">
        <v>124</v>
      </c>
      <c r="C11" s="284"/>
      <c r="D11" s="77">
        <v>1</v>
      </c>
      <c r="E11" s="77">
        <v>1</v>
      </c>
      <c r="F11" s="78">
        <f t="shared" si="0"/>
        <v>1</v>
      </c>
      <c r="G11" s="70"/>
      <c r="H11" s="5"/>
      <c r="I11" s="5"/>
      <c r="J11" s="5"/>
      <c r="K11" s="5"/>
    </row>
    <row r="12" spans="1:11" ht="27" customHeight="1" x14ac:dyDescent="0.25">
      <c r="A12" s="34">
        <v>3</v>
      </c>
      <c r="B12" s="10" t="s">
        <v>125</v>
      </c>
      <c r="C12" s="284"/>
      <c r="D12" s="77">
        <v>1</v>
      </c>
      <c r="E12" s="77">
        <v>1</v>
      </c>
      <c r="F12" s="78">
        <f t="shared" si="0"/>
        <v>1</v>
      </c>
      <c r="G12" s="70"/>
      <c r="H12" s="5"/>
      <c r="I12" s="5"/>
      <c r="J12" s="5"/>
      <c r="K12" s="5"/>
    </row>
    <row r="13" spans="1:11" ht="39" customHeight="1" x14ac:dyDescent="0.25">
      <c r="A13" s="34">
        <v>4</v>
      </c>
      <c r="B13" s="10" t="s">
        <v>126</v>
      </c>
      <c r="C13" s="284"/>
      <c r="D13" s="77">
        <v>3</v>
      </c>
      <c r="E13" s="77">
        <v>1</v>
      </c>
      <c r="F13" s="78">
        <f t="shared" si="0"/>
        <v>3</v>
      </c>
      <c r="G13" s="70"/>
      <c r="H13" s="5"/>
      <c r="I13" s="5"/>
      <c r="J13" s="5"/>
      <c r="K13" s="5"/>
    </row>
    <row r="14" spans="1:11" ht="27" customHeight="1" x14ac:dyDescent="0.25">
      <c r="A14" s="34">
        <v>5</v>
      </c>
      <c r="B14" s="10" t="s">
        <v>127</v>
      </c>
      <c r="C14" s="284"/>
      <c r="D14" s="77">
        <v>2</v>
      </c>
      <c r="E14" s="77">
        <v>1</v>
      </c>
      <c r="F14" s="78">
        <f t="shared" si="0"/>
        <v>2</v>
      </c>
      <c r="G14" s="70"/>
      <c r="H14" s="5"/>
      <c r="I14" s="5"/>
      <c r="J14" s="5"/>
      <c r="K14" s="5"/>
    </row>
    <row r="15" spans="1:11" ht="27" customHeight="1" x14ac:dyDescent="0.25">
      <c r="A15" s="34">
        <v>6</v>
      </c>
      <c r="B15" s="10" t="s">
        <v>128</v>
      </c>
      <c r="C15" s="284"/>
      <c r="D15" s="77">
        <v>4</v>
      </c>
      <c r="E15" s="77">
        <v>0.5</v>
      </c>
      <c r="F15" s="78">
        <f t="shared" si="0"/>
        <v>2</v>
      </c>
      <c r="G15" s="70"/>
      <c r="H15" s="5"/>
      <c r="I15" s="5"/>
      <c r="J15" s="5"/>
      <c r="K15" s="5"/>
    </row>
    <row r="16" spans="1:11" ht="27" customHeight="1" x14ac:dyDescent="0.25">
      <c r="A16" s="34">
        <v>7</v>
      </c>
      <c r="B16" s="10" t="s">
        <v>129</v>
      </c>
      <c r="C16" s="284"/>
      <c r="D16" s="77">
        <v>4</v>
      </c>
      <c r="E16" s="77">
        <v>0.5</v>
      </c>
      <c r="F16" s="78">
        <f t="shared" si="0"/>
        <v>2</v>
      </c>
      <c r="G16" s="70"/>
      <c r="H16" s="5"/>
      <c r="I16" s="5"/>
      <c r="J16" s="5"/>
      <c r="K16" s="5"/>
    </row>
    <row r="17" spans="1:11" ht="27" customHeight="1" x14ac:dyDescent="0.25">
      <c r="A17" s="34">
        <v>8</v>
      </c>
      <c r="B17" s="10" t="s">
        <v>130</v>
      </c>
      <c r="C17" s="284"/>
      <c r="D17" s="77">
        <v>2</v>
      </c>
      <c r="E17" s="77">
        <v>2</v>
      </c>
      <c r="F17" s="78">
        <f t="shared" si="0"/>
        <v>4</v>
      </c>
      <c r="G17" s="70"/>
      <c r="H17" s="5"/>
      <c r="I17" s="5"/>
      <c r="J17" s="5"/>
      <c r="K17" s="5"/>
    </row>
    <row r="18" spans="1:11" ht="27" customHeight="1" x14ac:dyDescent="0.25">
      <c r="A18" s="34">
        <v>9</v>
      </c>
      <c r="B18" s="10" t="s">
        <v>131</v>
      </c>
      <c r="C18" s="284"/>
      <c r="D18" s="77">
        <v>1</v>
      </c>
      <c r="E18" s="77">
        <v>1</v>
      </c>
      <c r="F18" s="78">
        <f t="shared" si="0"/>
        <v>1</v>
      </c>
      <c r="G18" s="70"/>
      <c r="H18" s="5"/>
      <c r="I18" s="5"/>
      <c r="J18" s="5"/>
      <c r="K18" s="5"/>
    </row>
    <row r="19" spans="1:11" ht="27" customHeight="1" x14ac:dyDescent="0.25">
      <c r="A19" s="34">
        <v>10</v>
      </c>
      <c r="B19" s="10" t="s">
        <v>132</v>
      </c>
      <c r="C19" s="284"/>
      <c r="D19" s="77">
        <v>2</v>
      </c>
      <c r="E19" s="77">
        <v>1</v>
      </c>
      <c r="F19" s="78">
        <f t="shared" si="0"/>
        <v>2</v>
      </c>
      <c r="G19" s="70"/>
      <c r="H19" s="5"/>
      <c r="I19" s="5"/>
      <c r="J19" s="5"/>
      <c r="K19" s="5"/>
    </row>
    <row r="20" spans="1:11" ht="27" customHeight="1" x14ac:dyDescent="0.25">
      <c r="A20" s="34">
        <v>11</v>
      </c>
      <c r="B20" s="10" t="s">
        <v>133</v>
      </c>
      <c r="C20" s="284"/>
      <c r="D20" s="77">
        <v>3</v>
      </c>
      <c r="E20" s="77">
        <v>2</v>
      </c>
      <c r="F20" s="78">
        <f t="shared" si="0"/>
        <v>6</v>
      </c>
      <c r="G20" s="70"/>
      <c r="H20" s="5"/>
      <c r="I20" s="5"/>
      <c r="J20" s="5"/>
      <c r="K20" s="5"/>
    </row>
    <row r="21" spans="1:11" ht="27" customHeight="1" x14ac:dyDescent="0.25">
      <c r="A21" s="34">
        <v>12</v>
      </c>
      <c r="B21" s="10" t="s">
        <v>134</v>
      </c>
      <c r="C21" s="284"/>
      <c r="D21" s="77">
        <v>0</v>
      </c>
      <c r="E21" s="77">
        <v>1</v>
      </c>
      <c r="F21" s="78">
        <f t="shared" si="0"/>
        <v>0</v>
      </c>
      <c r="G21" s="70"/>
      <c r="H21" s="5"/>
      <c r="I21" s="5"/>
      <c r="J21" s="5"/>
      <c r="K21" s="5"/>
    </row>
    <row r="22" spans="1:11" ht="27" customHeight="1" x14ac:dyDescent="0.25">
      <c r="A22" s="34">
        <v>13</v>
      </c>
      <c r="B22" s="29" t="s">
        <v>135</v>
      </c>
      <c r="C22" s="285"/>
      <c r="D22" s="77">
        <v>2</v>
      </c>
      <c r="E22" s="77">
        <v>1</v>
      </c>
      <c r="F22" s="78">
        <f t="shared" si="0"/>
        <v>2</v>
      </c>
      <c r="G22" s="70"/>
      <c r="H22" s="5"/>
      <c r="I22" s="5"/>
      <c r="J22" s="5"/>
      <c r="K22" s="5"/>
    </row>
    <row r="23" spans="1:11" ht="27" customHeight="1" x14ac:dyDescent="0.25">
      <c r="A23" s="24" t="s">
        <v>7</v>
      </c>
      <c r="B23" s="72" t="s">
        <v>136</v>
      </c>
      <c r="C23" s="72" t="s">
        <v>137</v>
      </c>
      <c r="D23" s="73"/>
      <c r="E23" s="74"/>
      <c r="F23" s="79">
        <f>0.6+0.01*F9</f>
        <v>0.8899999999999999</v>
      </c>
      <c r="G23" s="80"/>
      <c r="H23" s="5"/>
      <c r="I23" s="5"/>
      <c r="J23" s="5"/>
      <c r="K23" s="5"/>
    </row>
    <row r="24" spans="1:11" ht="15.75" customHeight="1" x14ac:dyDescent="0.25">
      <c r="A24" s="5"/>
      <c r="B24" s="5"/>
      <c r="C24" s="5"/>
      <c r="D24" s="5"/>
      <c r="E24" s="5"/>
      <c r="F24" s="5"/>
      <c r="G24" s="5"/>
      <c r="H24" s="5"/>
      <c r="I24" s="5"/>
      <c r="J24" s="5"/>
      <c r="K24" s="5"/>
    </row>
    <row r="25" spans="1:11" ht="15.75" customHeight="1" x14ac:dyDescent="0.25">
      <c r="A25" s="5"/>
      <c r="B25" s="5"/>
      <c r="C25" s="5"/>
      <c r="D25" s="5"/>
      <c r="E25" s="5"/>
      <c r="F25" s="5"/>
      <c r="G25" s="5"/>
      <c r="H25" s="5"/>
      <c r="I25" s="5"/>
      <c r="J25" s="5"/>
      <c r="K25" s="5"/>
    </row>
    <row r="26" spans="1:11" ht="15.75" customHeight="1" x14ac:dyDescent="0.25">
      <c r="A26" s="5"/>
      <c r="B26" s="5"/>
      <c r="C26" s="5"/>
      <c r="D26" s="5"/>
      <c r="E26" s="5"/>
      <c r="F26" s="5"/>
      <c r="G26" s="5"/>
      <c r="H26" s="5"/>
      <c r="I26" s="5"/>
      <c r="J26" s="5"/>
      <c r="K26" s="5"/>
    </row>
    <row r="27" spans="1:11" ht="15.75" customHeight="1" x14ac:dyDescent="0.25">
      <c r="A27" s="5"/>
      <c r="B27" s="5"/>
      <c r="C27" s="5"/>
      <c r="D27" s="5"/>
      <c r="E27" s="5"/>
      <c r="F27" s="5"/>
      <c r="G27" s="5"/>
      <c r="H27" s="5"/>
      <c r="I27" s="5"/>
      <c r="J27" s="5"/>
      <c r="K27" s="5"/>
    </row>
    <row r="28" spans="1:11" ht="15.75" customHeight="1" x14ac:dyDescent="0.25">
      <c r="A28" s="5"/>
      <c r="B28" s="5"/>
      <c r="C28" s="5"/>
      <c r="D28" s="5"/>
      <c r="E28" s="5"/>
      <c r="F28" s="5"/>
      <c r="G28" s="5"/>
      <c r="H28" s="5"/>
      <c r="I28" s="5"/>
      <c r="J28" s="5"/>
      <c r="K28" s="5"/>
    </row>
    <row r="29" spans="1:11" ht="15.75" customHeight="1" x14ac:dyDescent="0.25">
      <c r="A29" s="5"/>
      <c r="B29" s="5"/>
      <c r="C29" s="5"/>
      <c r="D29" s="5"/>
      <c r="E29" s="5"/>
      <c r="F29" s="5"/>
      <c r="G29" s="5"/>
      <c r="H29" s="5"/>
      <c r="I29" s="5"/>
      <c r="J29" s="5"/>
      <c r="K29" s="5"/>
    </row>
    <row r="30" spans="1:11" ht="15.75" customHeight="1" x14ac:dyDescent="0.25">
      <c r="A30" s="5"/>
      <c r="B30" s="5"/>
      <c r="C30" s="5"/>
      <c r="D30" s="5"/>
      <c r="E30" s="5"/>
      <c r="F30" s="5"/>
      <c r="G30" s="5"/>
      <c r="H30" s="5"/>
      <c r="I30" s="5"/>
      <c r="J30" s="5"/>
      <c r="K30" s="5"/>
    </row>
    <row r="31" spans="1:11" ht="15.75" customHeight="1" x14ac:dyDescent="0.25">
      <c r="A31" s="5"/>
      <c r="B31" s="5"/>
      <c r="C31" s="5"/>
      <c r="D31" s="5"/>
      <c r="E31" s="5"/>
      <c r="F31" s="5"/>
      <c r="G31" s="5"/>
      <c r="H31" s="5"/>
      <c r="I31" s="5"/>
      <c r="J31" s="5"/>
      <c r="K31" s="5"/>
    </row>
    <row r="32" spans="1:11" ht="15.75" customHeight="1" x14ac:dyDescent="0.25">
      <c r="A32" s="5"/>
      <c r="B32" s="5"/>
      <c r="C32" s="5"/>
      <c r="D32" s="5"/>
      <c r="E32" s="5"/>
      <c r="F32" s="5"/>
      <c r="G32" s="5"/>
      <c r="H32" s="5"/>
      <c r="I32" s="5"/>
      <c r="J32" s="5"/>
      <c r="K32" s="5"/>
    </row>
    <row r="33" spans="1:11" ht="15.75" customHeight="1" x14ac:dyDescent="0.25">
      <c r="A33" s="5"/>
      <c r="B33" s="5"/>
      <c r="C33" s="5"/>
      <c r="D33" s="5"/>
      <c r="E33" s="5"/>
      <c r="F33" s="5"/>
      <c r="G33" s="5"/>
      <c r="H33" s="5"/>
      <c r="I33" s="5"/>
      <c r="J33" s="5"/>
      <c r="K33" s="5"/>
    </row>
    <row r="34" spans="1:11" ht="15.75" customHeight="1" x14ac:dyDescent="0.25">
      <c r="A34" s="5"/>
      <c r="B34" s="5"/>
      <c r="C34" s="5"/>
      <c r="D34" s="5"/>
      <c r="E34" s="5"/>
      <c r="F34" s="5"/>
      <c r="G34" s="5"/>
      <c r="H34" s="5"/>
      <c r="I34" s="5"/>
      <c r="J34" s="5"/>
      <c r="K34" s="5"/>
    </row>
    <row r="35" spans="1:11" ht="15.75" customHeight="1" x14ac:dyDescent="0.25">
      <c r="A35" s="5"/>
      <c r="B35" s="5"/>
      <c r="C35" s="5"/>
      <c r="D35" s="5"/>
      <c r="E35" s="5"/>
      <c r="F35" s="5"/>
      <c r="G35" s="5"/>
      <c r="H35" s="5"/>
      <c r="I35" s="5"/>
      <c r="J35" s="5"/>
      <c r="K35" s="5"/>
    </row>
    <row r="36" spans="1:11" ht="15.75" customHeight="1" x14ac:dyDescent="0.25">
      <c r="A36" s="5"/>
      <c r="B36" s="5"/>
      <c r="C36" s="5"/>
      <c r="D36" s="5"/>
      <c r="E36" s="5"/>
      <c r="F36" s="5"/>
      <c r="G36" s="5"/>
      <c r="H36" s="5"/>
      <c r="I36" s="5"/>
      <c r="J36" s="5"/>
      <c r="K36" s="5"/>
    </row>
    <row r="37" spans="1:11" ht="15.75" customHeight="1" x14ac:dyDescent="0.25">
      <c r="A37" s="5"/>
      <c r="B37" s="5"/>
      <c r="C37" s="5"/>
      <c r="D37" s="5"/>
      <c r="E37" s="5"/>
      <c r="F37" s="5"/>
      <c r="G37" s="5"/>
      <c r="H37" s="5"/>
      <c r="I37" s="5"/>
      <c r="J37" s="5"/>
      <c r="K37" s="5"/>
    </row>
    <row r="38" spans="1:11" ht="15.75" customHeight="1" x14ac:dyDescent="0.25">
      <c r="A38" s="5"/>
      <c r="B38" s="5"/>
      <c r="C38" s="5"/>
      <c r="D38" s="5"/>
      <c r="E38" s="5"/>
      <c r="F38" s="5"/>
      <c r="G38" s="5"/>
      <c r="H38" s="5"/>
      <c r="I38" s="5"/>
      <c r="J38" s="5"/>
      <c r="K38" s="5"/>
    </row>
    <row r="39" spans="1:11" ht="15.75" customHeight="1" x14ac:dyDescent="0.25">
      <c r="A39" s="5"/>
      <c r="B39" s="5"/>
      <c r="C39" s="5"/>
      <c r="D39" s="5"/>
      <c r="E39" s="5"/>
      <c r="F39" s="5"/>
      <c r="G39" s="5"/>
      <c r="H39" s="5"/>
      <c r="I39" s="5"/>
      <c r="J39" s="5"/>
      <c r="K39" s="5"/>
    </row>
    <row r="40" spans="1:11" ht="15.75" customHeight="1" x14ac:dyDescent="0.25">
      <c r="A40" s="5"/>
      <c r="B40" s="5"/>
      <c r="C40" s="5"/>
      <c r="D40" s="5"/>
      <c r="E40" s="5"/>
      <c r="F40" s="5"/>
      <c r="G40" s="5"/>
      <c r="H40" s="5"/>
      <c r="I40" s="5"/>
      <c r="J40" s="5"/>
      <c r="K40" s="5"/>
    </row>
    <row r="41" spans="1:11" ht="15.75" customHeight="1" x14ac:dyDescent="0.25">
      <c r="A41" s="5"/>
      <c r="B41" s="5"/>
      <c r="C41" s="5"/>
      <c r="D41" s="5"/>
      <c r="E41" s="5"/>
      <c r="F41" s="5"/>
      <c r="G41" s="5"/>
      <c r="H41" s="5"/>
      <c r="I41" s="5"/>
      <c r="J41" s="5"/>
      <c r="K41" s="5"/>
    </row>
    <row r="42" spans="1:11" ht="15.75" customHeight="1" x14ac:dyDescent="0.25">
      <c r="A42" s="5"/>
      <c r="B42" s="5"/>
      <c r="C42" s="5"/>
      <c r="D42" s="5"/>
      <c r="E42" s="5"/>
      <c r="F42" s="5"/>
      <c r="G42" s="5"/>
      <c r="H42" s="5"/>
      <c r="I42" s="5"/>
      <c r="J42" s="5"/>
      <c r="K42" s="5"/>
    </row>
    <row r="43" spans="1:11" ht="15.75" customHeight="1" x14ac:dyDescent="0.25">
      <c r="A43" s="5"/>
      <c r="B43" s="5"/>
      <c r="C43" s="5"/>
      <c r="D43" s="5"/>
      <c r="E43" s="5"/>
      <c r="F43" s="5"/>
      <c r="G43" s="5"/>
      <c r="H43" s="5"/>
      <c r="I43" s="5"/>
      <c r="J43" s="5"/>
      <c r="K43" s="5"/>
    </row>
    <row r="44" spans="1:11" ht="15.75" customHeight="1" x14ac:dyDescent="0.25">
      <c r="A44" s="5"/>
      <c r="B44" s="5"/>
      <c r="C44" s="5"/>
      <c r="D44" s="5"/>
      <c r="E44" s="5"/>
      <c r="F44" s="5"/>
      <c r="G44" s="5"/>
      <c r="H44" s="5"/>
      <c r="I44" s="5"/>
      <c r="J44" s="5"/>
      <c r="K44" s="5"/>
    </row>
    <row r="45" spans="1:11" ht="15.75" customHeight="1" x14ac:dyDescent="0.25">
      <c r="A45" s="5"/>
      <c r="B45" s="5"/>
      <c r="C45" s="5"/>
      <c r="D45" s="5"/>
      <c r="E45" s="5"/>
      <c r="F45" s="5"/>
      <c r="G45" s="5"/>
      <c r="H45" s="5"/>
      <c r="I45" s="5"/>
      <c r="J45" s="5"/>
      <c r="K45" s="5"/>
    </row>
    <row r="46" spans="1:11" ht="15.75" customHeight="1" x14ac:dyDescent="0.25">
      <c r="A46" s="5"/>
      <c r="B46" s="5"/>
      <c r="C46" s="5"/>
      <c r="D46" s="5"/>
      <c r="E46" s="5"/>
      <c r="F46" s="5"/>
      <c r="G46" s="5"/>
      <c r="H46" s="5"/>
      <c r="I46" s="5"/>
      <c r="J46" s="5"/>
      <c r="K46" s="5"/>
    </row>
    <row r="47" spans="1:11" ht="15.75" customHeight="1" x14ac:dyDescent="0.25">
      <c r="A47" s="5"/>
      <c r="B47" s="5"/>
      <c r="C47" s="5"/>
      <c r="D47" s="5"/>
      <c r="E47" s="5"/>
      <c r="F47" s="5"/>
      <c r="G47" s="5"/>
      <c r="H47" s="5"/>
      <c r="I47" s="5"/>
      <c r="J47" s="5"/>
      <c r="K47" s="5"/>
    </row>
    <row r="48" spans="1:11" ht="15.75" customHeight="1" x14ac:dyDescent="0.25">
      <c r="A48" s="5"/>
      <c r="B48" s="5"/>
      <c r="C48" s="5"/>
      <c r="D48" s="5"/>
      <c r="E48" s="5"/>
      <c r="F48" s="5"/>
      <c r="G48" s="5"/>
      <c r="H48" s="5"/>
      <c r="I48" s="5"/>
      <c r="J48" s="5"/>
      <c r="K48" s="5"/>
    </row>
    <row r="49" spans="1:11" ht="15.75" customHeight="1" x14ac:dyDescent="0.25">
      <c r="A49" s="5"/>
      <c r="B49" s="5"/>
      <c r="C49" s="5"/>
      <c r="D49" s="5"/>
      <c r="E49" s="5"/>
      <c r="F49" s="5"/>
      <c r="G49" s="5"/>
      <c r="H49" s="5"/>
      <c r="I49" s="5"/>
      <c r="J49" s="5"/>
      <c r="K49" s="5"/>
    </row>
    <row r="50" spans="1:11" ht="15.75" customHeight="1" x14ac:dyDescent="0.25">
      <c r="A50" s="5"/>
      <c r="B50" s="5"/>
      <c r="C50" s="5"/>
      <c r="D50" s="5"/>
      <c r="E50" s="5"/>
      <c r="F50" s="5"/>
      <c r="G50" s="5"/>
      <c r="H50" s="5"/>
      <c r="I50" s="5"/>
      <c r="J50" s="5"/>
      <c r="K50" s="5"/>
    </row>
    <row r="51" spans="1:11" ht="15.75" customHeight="1" x14ac:dyDescent="0.25">
      <c r="A51" s="5"/>
      <c r="B51" s="5"/>
      <c r="C51" s="5"/>
      <c r="D51" s="5"/>
      <c r="E51" s="5"/>
      <c r="F51" s="5"/>
      <c r="G51" s="5"/>
      <c r="H51" s="5"/>
      <c r="I51" s="5"/>
      <c r="J51" s="5"/>
      <c r="K51" s="5"/>
    </row>
    <row r="52" spans="1:11" ht="15.75" customHeight="1" x14ac:dyDescent="0.25">
      <c r="A52" s="5"/>
      <c r="B52" s="5"/>
      <c r="C52" s="5"/>
      <c r="D52" s="5"/>
      <c r="E52" s="5"/>
      <c r="F52" s="5"/>
      <c r="G52" s="5"/>
      <c r="H52" s="5"/>
      <c r="I52" s="5"/>
      <c r="J52" s="5"/>
      <c r="K52" s="5"/>
    </row>
    <row r="53" spans="1:11" ht="15.75" customHeight="1" x14ac:dyDescent="0.25">
      <c r="A53" s="5"/>
      <c r="B53" s="5"/>
      <c r="C53" s="5"/>
      <c r="D53" s="5"/>
      <c r="E53" s="5"/>
      <c r="F53" s="5"/>
      <c r="G53" s="5"/>
      <c r="H53" s="5"/>
      <c r="I53" s="5"/>
      <c r="J53" s="5"/>
      <c r="K53" s="5"/>
    </row>
    <row r="54" spans="1:11" ht="15.75" customHeight="1" x14ac:dyDescent="0.25">
      <c r="A54" s="5"/>
      <c r="B54" s="5"/>
      <c r="C54" s="5"/>
      <c r="D54" s="5"/>
      <c r="E54" s="5"/>
      <c r="F54" s="5"/>
      <c r="G54" s="5"/>
      <c r="H54" s="5"/>
      <c r="I54" s="5"/>
      <c r="J54" s="5"/>
      <c r="K54" s="5"/>
    </row>
    <row r="55" spans="1:11" ht="15.75" customHeight="1" x14ac:dyDescent="0.25">
      <c r="A55" s="5"/>
      <c r="B55" s="5"/>
      <c r="C55" s="5"/>
      <c r="D55" s="5"/>
      <c r="E55" s="5"/>
      <c r="F55" s="5"/>
      <c r="G55" s="5"/>
      <c r="H55" s="5"/>
      <c r="I55" s="5"/>
      <c r="J55" s="5"/>
      <c r="K55" s="5"/>
    </row>
    <row r="56" spans="1:11" ht="15.75" customHeight="1" x14ac:dyDescent="0.25">
      <c r="A56" s="5"/>
      <c r="B56" s="5"/>
      <c r="C56" s="5"/>
      <c r="D56" s="5"/>
      <c r="E56" s="5"/>
      <c r="F56" s="5"/>
      <c r="G56" s="5"/>
      <c r="H56" s="5"/>
      <c r="I56" s="5"/>
      <c r="J56" s="5"/>
      <c r="K56" s="5"/>
    </row>
    <row r="57" spans="1:11" ht="15.75" customHeight="1" x14ac:dyDescent="0.25">
      <c r="A57" s="5"/>
      <c r="B57" s="5"/>
      <c r="C57" s="5"/>
      <c r="D57" s="5"/>
      <c r="E57" s="5"/>
      <c r="F57" s="5"/>
      <c r="G57" s="5"/>
      <c r="H57" s="5"/>
      <c r="I57" s="5"/>
      <c r="J57" s="5"/>
      <c r="K57" s="5"/>
    </row>
    <row r="58" spans="1:11" ht="15.75" customHeight="1" x14ac:dyDescent="0.25">
      <c r="A58" s="5"/>
      <c r="B58" s="5"/>
      <c r="C58" s="5"/>
      <c r="D58" s="5"/>
      <c r="E58" s="5"/>
      <c r="F58" s="5"/>
      <c r="G58" s="5"/>
      <c r="H58" s="5"/>
      <c r="I58" s="5"/>
      <c r="J58" s="5"/>
      <c r="K58" s="5"/>
    </row>
    <row r="59" spans="1:11" ht="15.75" customHeight="1" x14ac:dyDescent="0.25">
      <c r="A59" s="5"/>
      <c r="B59" s="5"/>
      <c r="C59" s="5"/>
      <c r="D59" s="5"/>
      <c r="E59" s="5"/>
      <c r="F59" s="5"/>
      <c r="G59" s="5"/>
      <c r="H59" s="5"/>
      <c r="I59" s="5"/>
      <c r="J59" s="5"/>
      <c r="K59" s="5"/>
    </row>
    <row r="60" spans="1:11" ht="15.75" customHeight="1" x14ac:dyDescent="0.25">
      <c r="A60" s="5"/>
      <c r="B60" s="5"/>
      <c r="C60" s="5"/>
      <c r="D60" s="5"/>
      <c r="E60" s="5"/>
      <c r="F60" s="5"/>
      <c r="G60" s="5"/>
      <c r="H60" s="5"/>
      <c r="I60" s="5"/>
      <c r="J60" s="5"/>
      <c r="K60" s="5"/>
    </row>
    <row r="61" spans="1:11" ht="15.75" customHeight="1" x14ac:dyDescent="0.25">
      <c r="A61" s="5"/>
      <c r="B61" s="5"/>
      <c r="C61" s="5"/>
      <c r="D61" s="5"/>
      <c r="E61" s="5"/>
      <c r="F61" s="5"/>
      <c r="G61" s="5"/>
      <c r="H61" s="5"/>
      <c r="I61" s="5"/>
      <c r="J61" s="5"/>
      <c r="K61" s="5"/>
    </row>
    <row r="62" spans="1:11" ht="15.75" customHeight="1" x14ac:dyDescent="0.25">
      <c r="A62" s="5"/>
      <c r="B62" s="5"/>
      <c r="C62" s="5"/>
      <c r="D62" s="5"/>
      <c r="E62" s="5"/>
      <c r="F62" s="5"/>
      <c r="G62" s="5"/>
      <c r="H62" s="5"/>
      <c r="I62" s="5"/>
      <c r="J62" s="5"/>
      <c r="K62" s="5"/>
    </row>
    <row r="63" spans="1:11" ht="15.75" customHeight="1" x14ac:dyDescent="0.25">
      <c r="A63" s="5"/>
      <c r="B63" s="5"/>
      <c r="C63" s="5"/>
      <c r="D63" s="5"/>
      <c r="E63" s="5"/>
      <c r="F63" s="5"/>
      <c r="G63" s="5"/>
      <c r="H63" s="5"/>
      <c r="I63" s="5"/>
      <c r="J63" s="5"/>
      <c r="K63" s="5"/>
    </row>
    <row r="64" spans="1:11" ht="15.75" customHeight="1" x14ac:dyDescent="0.25">
      <c r="A64" s="5"/>
      <c r="B64" s="5"/>
      <c r="C64" s="5"/>
      <c r="D64" s="5"/>
      <c r="E64" s="5"/>
      <c r="F64" s="5"/>
      <c r="G64" s="5"/>
      <c r="H64" s="5"/>
      <c r="I64" s="5"/>
      <c r="J64" s="5"/>
      <c r="K64" s="5"/>
    </row>
    <row r="65" spans="1:11" ht="15.75" customHeight="1" x14ac:dyDescent="0.25">
      <c r="A65" s="5"/>
      <c r="B65" s="5"/>
      <c r="C65" s="5"/>
      <c r="D65" s="5"/>
      <c r="E65" s="5"/>
      <c r="F65" s="5"/>
      <c r="G65" s="5"/>
      <c r="H65" s="5"/>
      <c r="I65" s="5"/>
      <c r="J65" s="5"/>
      <c r="K65" s="5"/>
    </row>
    <row r="66" spans="1:11" ht="15.75" customHeight="1" x14ac:dyDescent="0.25">
      <c r="A66" s="5"/>
      <c r="B66" s="5"/>
      <c r="C66" s="5"/>
      <c r="D66" s="5"/>
      <c r="E66" s="5"/>
      <c r="F66" s="5"/>
      <c r="G66" s="5"/>
      <c r="H66" s="5"/>
      <c r="I66" s="5"/>
      <c r="J66" s="5"/>
      <c r="K66" s="5"/>
    </row>
    <row r="67" spans="1:11" ht="15.75" customHeight="1" x14ac:dyDescent="0.25">
      <c r="A67" s="5"/>
      <c r="B67" s="5"/>
      <c r="C67" s="5"/>
      <c r="D67" s="5"/>
      <c r="E67" s="5"/>
      <c r="F67" s="5"/>
      <c r="G67" s="5"/>
      <c r="H67" s="5"/>
      <c r="I67" s="5"/>
      <c r="J67" s="5"/>
      <c r="K67" s="5"/>
    </row>
    <row r="68" spans="1:11" ht="15.75" customHeight="1" x14ac:dyDescent="0.25">
      <c r="A68" s="5"/>
      <c r="B68" s="5"/>
      <c r="C68" s="5"/>
      <c r="D68" s="5"/>
      <c r="E68" s="5"/>
      <c r="F68" s="5"/>
      <c r="G68" s="5"/>
      <c r="H68" s="5"/>
      <c r="I68" s="5"/>
      <c r="J68" s="5"/>
      <c r="K68" s="5"/>
    </row>
    <row r="69" spans="1:11" ht="15.75" customHeight="1" x14ac:dyDescent="0.25">
      <c r="A69" s="5"/>
      <c r="B69" s="5"/>
      <c r="C69" s="5"/>
      <c r="D69" s="5"/>
      <c r="E69" s="5"/>
      <c r="F69" s="5"/>
      <c r="G69" s="5"/>
      <c r="H69" s="5"/>
      <c r="I69" s="5"/>
      <c r="J69" s="5"/>
      <c r="K69" s="5"/>
    </row>
    <row r="70" spans="1:11" ht="15.75" customHeight="1" x14ac:dyDescent="0.25">
      <c r="A70" s="5"/>
      <c r="B70" s="5"/>
      <c r="C70" s="5"/>
      <c r="D70" s="5"/>
      <c r="E70" s="5"/>
      <c r="F70" s="5"/>
      <c r="G70" s="5"/>
      <c r="H70" s="5"/>
      <c r="I70" s="5"/>
      <c r="J70" s="5"/>
      <c r="K70" s="5"/>
    </row>
    <row r="71" spans="1:11" ht="15.75" customHeight="1" x14ac:dyDescent="0.25">
      <c r="A71" s="5"/>
      <c r="B71" s="5"/>
      <c r="C71" s="5"/>
      <c r="D71" s="5"/>
      <c r="E71" s="5"/>
      <c r="F71" s="5"/>
      <c r="G71" s="5"/>
      <c r="H71" s="5"/>
      <c r="I71" s="5"/>
      <c r="J71" s="5"/>
      <c r="K71" s="5"/>
    </row>
    <row r="72" spans="1:11" ht="15.75" customHeight="1" x14ac:dyDescent="0.25">
      <c r="A72" s="5"/>
      <c r="B72" s="5"/>
      <c r="C72" s="5"/>
      <c r="D72" s="5"/>
      <c r="E72" s="5"/>
      <c r="F72" s="5"/>
      <c r="G72" s="5"/>
      <c r="H72" s="5"/>
      <c r="I72" s="5"/>
      <c r="J72" s="5"/>
      <c r="K72" s="5"/>
    </row>
    <row r="73" spans="1:11" ht="15.75" customHeight="1" x14ac:dyDescent="0.25">
      <c r="A73" s="5"/>
      <c r="B73" s="5"/>
      <c r="C73" s="5"/>
      <c r="D73" s="5"/>
      <c r="E73" s="5"/>
      <c r="F73" s="5"/>
      <c r="G73" s="5"/>
      <c r="H73" s="5"/>
      <c r="I73" s="5"/>
      <c r="J73" s="5"/>
      <c r="K73" s="5"/>
    </row>
    <row r="74" spans="1:11" ht="15.75" customHeight="1" x14ac:dyDescent="0.25">
      <c r="A74" s="5"/>
      <c r="B74" s="5"/>
      <c r="C74" s="5"/>
      <c r="D74" s="5"/>
      <c r="E74" s="5"/>
      <c r="F74" s="5"/>
      <c r="G74" s="5"/>
      <c r="H74" s="5"/>
      <c r="I74" s="5"/>
      <c r="J74" s="5"/>
      <c r="K74" s="5"/>
    </row>
    <row r="75" spans="1:11" ht="15.75" customHeight="1" x14ac:dyDescent="0.25">
      <c r="A75" s="5"/>
      <c r="B75" s="5"/>
      <c r="C75" s="5"/>
      <c r="D75" s="5"/>
      <c r="E75" s="5"/>
      <c r="F75" s="5"/>
      <c r="G75" s="5"/>
      <c r="H75" s="5"/>
      <c r="I75" s="5"/>
      <c r="J75" s="5"/>
      <c r="K75" s="5"/>
    </row>
    <row r="76" spans="1:11" ht="15.75" customHeight="1" x14ac:dyDescent="0.25">
      <c r="A76" s="5"/>
      <c r="B76" s="5"/>
      <c r="C76" s="5"/>
      <c r="D76" s="5"/>
      <c r="E76" s="5"/>
      <c r="F76" s="5"/>
      <c r="G76" s="5"/>
      <c r="H76" s="5"/>
      <c r="I76" s="5"/>
      <c r="J76" s="5"/>
      <c r="K76" s="5"/>
    </row>
    <row r="77" spans="1:11" ht="15.75" customHeight="1" x14ac:dyDescent="0.25">
      <c r="A77" s="5"/>
      <c r="B77" s="5"/>
      <c r="C77" s="5"/>
      <c r="D77" s="5"/>
      <c r="E77" s="5"/>
      <c r="F77" s="5"/>
      <c r="G77" s="5"/>
      <c r="H77" s="5"/>
      <c r="I77" s="5"/>
      <c r="J77" s="5"/>
      <c r="K77" s="5"/>
    </row>
    <row r="78" spans="1:11" ht="15.75" customHeight="1" x14ac:dyDescent="0.25">
      <c r="A78" s="5"/>
      <c r="B78" s="5"/>
      <c r="C78" s="5"/>
      <c r="D78" s="5"/>
      <c r="E78" s="5"/>
      <c r="F78" s="5"/>
      <c r="G78" s="5"/>
      <c r="H78" s="5"/>
      <c r="I78" s="5"/>
      <c r="J78" s="5"/>
      <c r="K78" s="5"/>
    </row>
    <row r="79" spans="1:11" ht="15.75" customHeight="1" x14ac:dyDescent="0.25">
      <c r="A79" s="5"/>
      <c r="B79" s="5"/>
      <c r="C79" s="5"/>
      <c r="D79" s="5"/>
      <c r="E79" s="5"/>
      <c r="F79" s="5"/>
      <c r="G79" s="5"/>
      <c r="H79" s="5"/>
      <c r="I79" s="5"/>
      <c r="J79" s="5"/>
      <c r="K79" s="5"/>
    </row>
    <row r="80" spans="1:11" ht="15.75" customHeight="1" x14ac:dyDescent="0.25">
      <c r="A80" s="5"/>
      <c r="B80" s="5"/>
      <c r="C80" s="5"/>
      <c r="D80" s="5"/>
      <c r="E80" s="5"/>
      <c r="F80" s="5"/>
      <c r="G80" s="5"/>
      <c r="H80" s="5"/>
      <c r="I80" s="5"/>
      <c r="J80" s="5"/>
      <c r="K80" s="5"/>
    </row>
    <row r="81" spans="1:11" ht="15.75" customHeight="1" x14ac:dyDescent="0.25">
      <c r="A81" s="5"/>
      <c r="B81" s="5"/>
      <c r="C81" s="5"/>
      <c r="D81" s="5"/>
      <c r="E81" s="5"/>
      <c r="F81" s="5"/>
      <c r="G81" s="5"/>
      <c r="H81" s="5"/>
      <c r="I81" s="5"/>
      <c r="J81" s="5"/>
      <c r="K81" s="5"/>
    </row>
    <row r="82" spans="1:11" ht="15.75" customHeight="1" x14ac:dyDescent="0.25">
      <c r="A82" s="5"/>
      <c r="B82" s="5"/>
      <c r="C82" s="5"/>
      <c r="D82" s="5"/>
      <c r="E82" s="5"/>
      <c r="F82" s="5"/>
      <c r="G82" s="5"/>
      <c r="H82" s="5"/>
      <c r="I82" s="5"/>
      <c r="J82" s="5"/>
      <c r="K82" s="5"/>
    </row>
    <row r="83" spans="1:11" ht="15.75" customHeight="1" x14ac:dyDescent="0.25">
      <c r="A83" s="5"/>
      <c r="B83" s="5"/>
      <c r="C83" s="5"/>
      <c r="D83" s="5"/>
      <c r="E83" s="5"/>
      <c r="F83" s="5"/>
      <c r="G83" s="5"/>
      <c r="H83" s="5"/>
      <c r="I83" s="5"/>
      <c r="J83" s="5"/>
      <c r="K83" s="5"/>
    </row>
    <row r="84" spans="1:11" ht="15.75" customHeight="1" x14ac:dyDescent="0.25">
      <c r="A84" s="5"/>
      <c r="B84" s="5"/>
      <c r="C84" s="5"/>
      <c r="D84" s="5"/>
      <c r="E84" s="5"/>
      <c r="F84" s="5"/>
      <c r="G84" s="5"/>
      <c r="H84" s="5"/>
      <c r="I84" s="5"/>
      <c r="J84" s="5"/>
      <c r="K84" s="5"/>
    </row>
    <row r="85" spans="1:11" ht="15.75" customHeight="1" x14ac:dyDescent="0.25">
      <c r="A85" s="5"/>
      <c r="B85" s="5"/>
      <c r="C85" s="5"/>
      <c r="D85" s="5"/>
      <c r="E85" s="5"/>
      <c r="F85" s="5"/>
      <c r="G85" s="5"/>
      <c r="H85" s="5"/>
      <c r="I85" s="5"/>
      <c r="J85" s="5"/>
      <c r="K85" s="5"/>
    </row>
    <row r="86" spans="1:11" ht="15.75" customHeight="1" x14ac:dyDescent="0.25">
      <c r="A86" s="5"/>
      <c r="B86" s="5"/>
      <c r="C86" s="5"/>
      <c r="D86" s="5"/>
      <c r="E86" s="5"/>
      <c r="F86" s="5"/>
      <c r="G86" s="5"/>
      <c r="H86" s="5"/>
      <c r="I86" s="5"/>
      <c r="J86" s="5"/>
      <c r="K86" s="5"/>
    </row>
    <row r="87" spans="1:11" ht="15.75" customHeight="1" x14ac:dyDescent="0.25">
      <c r="A87" s="5"/>
      <c r="B87" s="5"/>
      <c r="C87" s="5"/>
      <c r="D87" s="5"/>
      <c r="E87" s="5"/>
      <c r="F87" s="5"/>
      <c r="G87" s="5"/>
      <c r="H87" s="5"/>
      <c r="I87" s="5"/>
      <c r="J87" s="5"/>
      <c r="K87" s="5"/>
    </row>
    <row r="88" spans="1:11" ht="15.75" customHeight="1" x14ac:dyDescent="0.25">
      <c r="A88" s="5"/>
      <c r="B88" s="5"/>
      <c r="C88" s="5"/>
      <c r="D88" s="5"/>
      <c r="E88" s="5"/>
      <c r="F88" s="5"/>
      <c r="G88" s="5"/>
      <c r="H88" s="5"/>
      <c r="I88" s="5"/>
      <c r="J88" s="5"/>
      <c r="K88" s="5"/>
    </row>
    <row r="89" spans="1:11" ht="15.75" customHeight="1" x14ac:dyDescent="0.25">
      <c r="A89" s="5"/>
      <c r="B89" s="5"/>
      <c r="C89" s="5"/>
      <c r="D89" s="5"/>
      <c r="E89" s="5"/>
      <c r="F89" s="5"/>
      <c r="G89" s="5"/>
      <c r="H89" s="5"/>
      <c r="I89" s="5"/>
      <c r="J89" s="5"/>
      <c r="K89" s="5"/>
    </row>
    <row r="90" spans="1:11" ht="15.75" customHeight="1" x14ac:dyDescent="0.25">
      <c r="A90" s="5"/>
      <c r="B90" s="5"/>
      <c r="C90" s="5"/>
      <c r="D90" s="5"/>
      <c r="E90" s="5"/>
      <c r="F90" s="5"/>
      <c r="G90" s="5"/>
      <c r="H90" s="5"/>
      <c r="I90" s="5"/>
      <c r="J90" s="5"/>
      <c r="K90" s="5"/>
    </row>
    <row r="91" spans="1:11" ht="15.75" customHeight="1" x14ac:dyDescent="0.25">
      <c r="A91" s="5"/>
      <c r="B91" s="5"/>
      <c r="C91" s="5"/>
      <c r="D91" s="5"/>
      <c r="E91" s="5"/>
      <c r="F91" s="5"/>
      <c r="G91" s="5"/>
      <c r="H91" s="5"/>
      <c r="I91" s="5"/>
      <c r="J91" s="5"/>
      <c r="K91" s="5"/>
    </row>
    <row r="92" spans="1:11" ht="15.75" customHeight="1" x14ac:dyDescent="0.25">
      <c r="A92" s="5"/>
      <c r="B92" s="5"/>
      <c r="C92" s="5"/>
      <c r="D92" s="5"/>
      <c r="E92" s="5"/>
      <c r="F92" s="5"/>
      <c r="G92" s="5"/>
      <c r="H92" s="5"/>
      <c r="I92" s="5"/>
      <c r="J92" s="5"/>
      <c r="K92" s="5"/>
    </row>
    <row r="93" spans="1:11" ht="15.75" customHeight="1" x14ac:dyDescent="0.25">
      <c r="A93" s="5"/>
      <c r="B93" s="5"/>
      <c r="C93" s="5"/>
      <c r="D93" s="5"/>
      <c r="E93" s="5"/>
      <c r="F93" s="5"/>
      <c r="G93" s="5"/>
      <c r="H93" s="5"/>
      <c r="I93" s="5"/>
      <c r="J93" s="5"/>
      <c r="K93" s="5"/>
    </row>
    <row r="94" spans="1:11" ht="15.75" customHeight="1" x14ac:dyDescent="0.25">
      <c r="A94" s="5"/>
      <c r="B94" s="5"/>
      <c r="C94" s="5"/>
      <c r="D94" s="5"/>
      <c r="E94" s="5"/>
      <c r="F94" s="5"/>
      <c r="G94" s="5"/>
      <c r="H94" s="5"/>
      <c r="I94" s="5"/>
      <c r="J94" s="5"/>
      <c r="K94" s="5"/>
    </row>
    <row r="95" spans="1:11" ht="15.75" customHeight="1" x14ac:dyDescent="0.25">
      <c r="A95" s="5"/>
      <c r="B95" s="5"/>
      <c r="C95" s="5"/>
      <c r="D95" s="5"/>
      <c r="E95" s="5"/>
      <c r="F95" s="5"/>
      <c r="G95" s="5"/>
      <c r="H95" s="5"/>
      <c r="I95" s="5"/>
      <c r="J95" s="5"/>
      <c r="K95" s="5"/>
    </row>
    <row r="96" spans="1:11" ht="15.75" customHeight="1" x14ac:dyDescent="0.25">
      <c r="A96" s="5"/>
      <c r="B96" s="5"/>
      <c r="C96" s="5"/>
      <c r="D96" s="5"/>
      <c r="E96" s="5"/>
      <c r="F96" s="5"/>
      <c r="G96" s="5"/>
      <c r="H96" s="5"/>
      <c r="I96" s="5"/>
      <c r="J96" s="5"/>
      <c r="K96" s="5"/>
    </row>
    <row r="97" spans="1:11" ht="15.75" customHeight="1" x14ac:dyDescent="0.25">
      <c r="A97" s="5"/>
      <c r="B97" s="5"/>
      <c r="C97" s="5"/>
      <c r="D97" s="5"/>
      <c r="E97" s="5"/>
      <c r="F97" s="5"/>
      <c r="G97" s="5"/>
      <c r="H97" s="5"/>
      <c r="I97" s="5"/>
      <c r="J97" s="5"/>
      <c r="K97" s="5"/>
    </row>
    <row r="98" spans="1:11" ht="15.75" customHeight="1" x14ac:dyDescent="0.25">
      <c r="A98" s="5"/>
      <c r="B98" s="5"/>
      <c r="C98" s="5"/>
      <c r="D98" s="5"/>
      <c r="E98" s="5"/>
      <c r="F98" s="5"/>
      <c r="G98" s="5"/>
      <c r="H98" s="5"/>
      <c r="I98" s="5"/>
      <c r="J98" s="5"/>
      <c r="K98" s="5"/>
    </row>
    <row r="99" spans="1:11" ht="15.75" customHeight="1" x14ac:dyDescent="0.25">
      <c r="A99" s="5"/>
      <c r="B99" s="5"/>
      <c r="C99" s="5"/>
      <c r="D99" s="5"/>
      <c r="E99" s="5"/>
      <c r="F99" s="5"/>
      <c r="G99" s="5"/>
      <c r="H99" s="5"/>
      <c r="I99" s="5"/>
      <c r="J99" s="5"/>
      <c r="K99" s="5"/>
    </row>
    <row r="100" spans="1:11" ht="15.75" customHeight="1" x14ac:dyDescent="0.25">
      <c r="A100" s="5"/>
      <c r="B100" s="5"/>
      <c r="C100" s="5"/>
      <c r="D100" s="5"/>
      <c r="E100" s="5"/>
      <c r="F100" s="5"/>
      <c r="G100" s="5"/>
      <c r="H100" s="5"/>
      <c r="I100" s="5"/>
      <c r="J100" s="5"/>
      <c r="K100" s="5"/>
    </row>
  </sheetData>
  <mergeCells count="3">
    <mergeCell ref="A5:G5"/>
    <mergeCell ref="C10:C22"/>
    <mergeCell ref="A6:G6"/>
  </mergeCells>
  <pageMargins left="0.7" right="0.7" top="0.75" bottom="0.75" header="0" footer="0"/>
  <pageSetup orientation="landscape"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FFFF"/>
  </sheetPr>
  <dimension ref="A1:K100"/>
  <sheetViews>
    <sheetView topLeftCell="A13" workbookViewId="0">
      <selection activeCell="L13" sqref="L13"/>
    </sheetView>
  </sheetViews>
  <sheetFormatPr defaultColWidth="14.42578125" defaultRowHeight="15" customHeight="1" x14ac:dyDescent="0.25"/>
  <cols>
    <col min="1" max="1" width="5.7109375" customWidth="1"/>
    <col min="2" max="2" width="28.85546875" customWidth="1"/>
    <col min="3" max="3" width="26.140625" hidden="1" customWidth="1"/>
    <col min="4" max="4" width="10.42578125" customWidth="1"/>
    <col min="5" max="5" width="10.7109375" customWidth="1"/>
    <col min="6" max="6" width="10.5703125" customWidth="1"/>
    <col min="7" max="7" width="21.7109375" hidden="1" customWidth="1"/>
    <col min="8" max="8" width="17.28515625" customWidth="1"/>
    <col min="9" max="11" width="8" customWidth="1"/>
  </cols>
  <sheetData>
    <row r="1" spans="1:11" ht="15.75" customHeight="1" x14ac:dyDescent="0.25">
      <c r="A1" s="1" t="str">
        <f>'3.Tổng hợp chi phí phần mềm'!A1</f>
        <v>VIỄN THÔNG KHÁNH HÒA</v>
      </c>
      <c r="B1" s="4"/>
      <c r="C1" s="4"/>
      <c r="D1" s="4"/>
      <c r="E1" s="4"/>
      <c r="F1" s="5"/>
      <c r="G1" s="5"/>
      <c r="H1" s="5"/>
      <c r="I1" s="5"/>
      <c r="J1" s="5"/>
      <c r="K1" s="5"/>
    </row>
    <row r="2" spans="1:11" ht="15.75" customHeight="1" x14ac:dyDescent="0.25">
      <c r="A2" s="1" t="str">
        <f>'3.Tổng hợp chi phí phần mềm'!A2</f>
        <v>TRUNG TÂM CÔNG NGHỆ THÔNG TIN</v>
      </c>
      <c r="B2" s="4"/>
      <c r="C2" s="4"/>
      <c r="D2" s="4"/>
      <c r="E2" s="4"/>
      <c r="F2" s="5"/>
      <c r="G2" s="5"/>
      <c r="H2" s="5"/>
      <c r="I2" s="5"/>
      <c r="J2" s="5"/>
      <c r="K2" s="5"/>
    </row>
    <row r="3" spans="1:11" ht="15.75" customHeight="1" x14ac:dyDescent="0.25">
      <c r="A3" s="5"/>
      <c r="B3" s="5"/>
      <c r="C3" s="5"/>
      <c r="D3" s="5"/>
      <c r="E3" s="5"/>
      <c r="F3" s="5"/>
      <c r="G3" s="5"/>
      <c r="H3" s="5"/>
      <c r="I3" s="5"/>
      <c r="J3" s="5"/>
      <c r="K3" s="5"/>
    </row>
    <row r="4" spans="1:11" ht="15.75" customHeight="1" x14ac:dyDescent="0.25">
      <c r="A4" s="5"/>
      <c r="B4" s="5"/>
      <c r="C4" s="5"/>
      <c r="D4" s="5"/>
      <c r="E4" s="5"/>
      <c r="F4" s="5"/>
      <c r="G4" s="5"/>
      <c r="H4" s="5"/>
      <c r="I4" s="5"/>
      <c r="J4" s="5"/>
      <c r="K4" s="5"/>
    </row>
    <row r="5" spans="1:11" ht="23.25" customHeight="1" x14ac:dyDescent="0.25">
      <c r="A5" s="295" t="s">
        <v>138</v>
      </c>
      <c r="B5" s="281"/>
      <c r="C5" s="281"/>
      <c r="D5" s="281"/>
      <c r="E5" s="281"/>
      <c r="F5" s="281"/>
      <c r="G5" s="281"/>
      <c r="H5" s="281"/>
      <c r="I5" s="81"/>
      <c r="J5" s="81"/>
      <c r="K5" s="81"/>
    </row>
    <row r="6" spans="1:11" ht="18.75" customHeight="1" x14ac:dyDescent="0.25">
      <c r="A6" s="296" t="str">
        <f>'3.Tổng hợp chi phí phần mềm'!A6:F6</f>
        <v>Phần mềm Hệ thống thông tin báo cáo - Sở Du lịch KHA</v>
      </c>
      <c r="B6" s="281"/>
      <c r="C6" s="281"/>
      <c r="D6" s="281"/>
      <c r="E6" s="281"/>
      <c r="F6" s="281"/>
      <c r="G6" s="281"/>
      <c r="H6" s="281"/>
      <c r="I6" s="5"/>
      <c r="J6" s="5"/>
      <c r="K6" s="5"/>
    </row>
    <row r="7" spans="1:11" ht="15.75" customHeight="1" x14ac:dyDescent="0.25">
      <c r="A7" s="5"/>
      <c r="B7" s="5"/>
      <c r="C7" s="5"/>
      <c r="D7" s="5"/>
      <c r="E7" s="5"/>
      <c r="F7" s="5"/>
      <c r="G7" s="5"/>
      <c r="H7" s="5"/>
      <c r="I7" s="5"/>
      <c r="J7" s="5"/>
      <c r="K7" s="5"/>
    </row>
    <row r="8" spans="1:11" ht="47.25" customHeight="1" x14ac:dyDescent="0.25">
      <c r="A8" s="82" t="s">
        <v>33</v>
      </c>
      <c r="B8" s="83" t="s">
        <v>139</v>
      </c>
      <c r="C8" s="83" t="s">
        <v>140</v>
      </c>
      <c r="D8" s="83" t="s">
        <v>95</v>
      </c>
      <c r="E8" s="83" t="s">
        <v>119</v>
      </c>
      <c r="F8" s="83" t="s">
        <v>141</v>
      </c>
      <c r="G8" s="83" t="s">
        <v>142</v>
      </c>
      <c r="H8" s="8" t="s">
        <v>143</v>
      </c>
      <c r="I8" s="39"/>
      <c r="J8" s="39"/>
      <c r="K8" s="39"/>
    </row>
    <row r="9" spans="1:11" ht="31.5" customHeight="1" x14ac:dyDescent="0.25">
      <c r="A9" s="24" t="s">
        <v>6</v>
      </c>
      <c r="B9" s="72" t="s">
        <v>144</v>
      </c>
      <c r="C9" s="72"/>
      <c r="D9" s="84"/>
      <c r="E9" s="84"/>
      <c r="F9" s="85">
        <f>SUM(F11:F18)</f>
        <v>42.5</v>
      </c>
      <c r="G9" s="24"/>
      <c r="H9" s="24"/>
      <c r="I9" s="5"/>
      <c r="J9" s="5"/>
      <c r="K9" s="5"/>
    </row>
    <row r="10" spans="1:11" ht="27.75" customHeight="1" x14ac:dyDescent="0.25">
      <c r="A10" s="26"/>
      <c r="B10" s="72" t="s">
        <v>145</v>
      </c>
      <c r="C10" s="72"/>
      <c r="D10" s="84"/>
      <c r="E10" s="84"/>
      <c r="F10" s="29"/>
      <c r="G10" s="300" t="s">
        <v>146</v>
      </c>
      <c r="H10" s="24"/>
      <c r="I10" s="5"/>
      <c r="J10" s="5"/>
      <c r="K10" s="5"/>
    </row>
    <row r="11" spans="1:11" ht="47.25" customHeight="1" x14ac:dyDescent="0.25">
      <c r="A11" s="26">
        <v>2</v>
      </c>
      <c r="B11" s="29" t="s">
        <v>147</v>
      </c>
      <c r="C11" s="297" t="s">
        <v>148</v>
      </c>
      <c r="D11" s="86">
        <v>1.5</v>
      </c>
      <c r="E11" s="87">
        <v>5</v>
      </c>
      <c r="F11" s="26">
        <f t="shared" ref="F11:F14" si="0">D11*E11</f>
        <v>7.5</v>
      </c>
      <c r="G11" s="284"/>
      <c r="H11" s="29">
        <f t="shared" ref="H11:H14" si="1">IF(F11&gt;3,1,IF(F11&gt;2,0.6,IF(F11&gt;1,0.1,IF(F11&gt;0,0.05,0))))</f>
        <v>1</v>
      </c>
      <c r="I11" s="5"/>
      <c r="J11" s="5"/>
      <c r="K11" s="5"/>
    </row>
    <row r="12" spans="1:11" ht="31.5" customHeight="1" x14ac:dyDescent="0.25">
      <c r="A12" s="26">
        <v>3</v>
      </c>
      <c r="B12" s="29" t="s">
        <v>149</v>
      </c>
      <c r="C12" s="298"/>
      <c r="D12" s="88">
        <v>0.5</v>
      </c>
      <c r="E12" s="88">
        <v>5</v>
      </c>
      <c r="F12" s="89">
        <f t="shared" si="0"/>
        <v>2.5</v>
      </c>
      <c r="G12" s="284"/>
      <c r="H12" s="29">
        <f t="shared" si="1"/>
        <v>0.6</v>
      </c>
      <c r="I12" s="5"/>
      <c r="J12" s="5"/>
      <c r="K12" s="5"/>
    </row>
    <row r="13" spans="1:11" ht="54.75" customHeight="1" x14ac:dyDescent="0.25">
      <c r="A13" s="26">
        <v>4</v>
      </c>
      <c r="B13" s="29" t="s">
        <v>150</v>
      </c>
      <c r="C13" s="299"/>
      <c r="D13" s="88">
        <v>1</v>
      </c>
      <c r="E13" s="88">
        <v>5</v>
      </c>
      <c r="F13" s="89">
        <f t="shared" si="0"/>
        <v>5</v>
      </c>
      <c r="G13" s="284"/>
      <c r="H13" s="29">
        <f t="shared" si="1"/>
        <v>1</v>
      </c>
      <c r="I13" s="5"/>
      <c r="J13" s="5"/>
      <c r="K13" s="5"/>
    </row>
    <row r="14" spans="1:11" ht="47.25" customHeight="1" x14ac:dyDescent="0.25">
      <c r="A14" s="26">
        <v>5</v>
      </c>
      <c r="B14" s="29" t="s">
        <v>151</v>
      </c>
      <c r="C14" s="90" t="s">
        <v>152</v>
      </c>
      <c r="D14" s="88">
        <v>0.5</v>
      </c>
      <c r="E14" s="88">
        <v>5</v>
      </c>
      <c r="F14" s="89">
        <f t="shared" si="0"/>
        <v>2.5</v>
      </c>
      <c r="G14" s="284"/>
      <c r="H14" s="29">
        <f t="shared" si="1"/>
        <v>0.6</v>
      </c>
      <c r="I14" s="5"/>
      <c r="J14" s="5"/>
      <c r="K14" s="5"/>
    </row>
    <row r="15" spans="1:11" ht="16.5" customHeight="1" x14ac:dyDescent="0.25">
      <c r="A15" s="26"/>
      <c r="B15" s="72" t="s">
        <v>153</v>
      </c>
      <c r="C15" s="91"/>
      <c r="D15" s="88"/>
      <c r="E15" s="88"/>
      <c r="F15" s="92"/>
      <c r="G15" s="284"/>
      <c r="H15" s="72"/>
      <c r="I15" s="5"/>
      <c r="J15" s="5"/>
      <c r="K15" s="5"/>
    </row>
    <row r="16" spans="1:11" ht="31.5" customHeight="1" x14ac:dyDescent="0.25">
      <c r="A16" s="26">
        <v>1</v>
      </c>
      <c r="B16" s="29" t="s">
        <v>154</v>
      </c>
      <c r="C16" s="93" t="s">
        <v>155</v>
      </c>
      <c r="D16" s="94">
        <v>5</v>
      </c>
      <c r="E16" s="95">
        <v>5</v>
      </c>
      <c r="F16" s="29">
        <f t="shared" ref="F16:F18" si="2">D16*E16</f>
        <v>25</v>
      </c>
      <c r="G16" s="284"/>
      <c r="H16" s="29">
        <f t="shared" ref="H16:H18" si="3">IF(F16&gt;3,1,IF(F16&gt;2,0.6,IF(F16&gt;1,0.1,IF(F16&gt;0,0.05,0))))</f>
        <v>1</v>
      </c>
      <c r="I16" s="5"/>
      <c r="J16" s="5"/>
      <c r="K16" s="5"/>
    </row>
    <row r="17" spans="1:11" ht="94.5" customHeight="1" x14ac:dyDescent="0.25">
      <c r="A17" s="26">
        <v>2</v>
      </c>
      <c r="B17" s="29" t="s">
        <v>156</v>
      </c>
      <c r="C17" s="93" t="s">
        <v>157</v>
      </c>
      <c r="D17" s="29">
        <v>-1</v>
      </c>
      <c r="E17" s="10">
        <v>0</v>
      </c>
      <c r="F17" s="29">
        <f t="shared" si="2"/>
        <v>0</v>
      </c>
      <c r="G17" s="284"/>
      <c r="H17" s="29">
        <f t="shared" si="3"/>
        <v>0</v>
      </c>
      <c r="I17" s="5"/>
      <c r="J17" s="5"/>
      <c r="K17" s="5"/>
    </row>
    <row r="18" spans="1:11" ht="47.25" customHeight="1" x14ac:dyDescent="0.25">
      <c r="A18" s="26">
        <v>3</v>
      </c>
      <c r="B18" s="29" t="s">
        <v>158</v>
      </c>
      <c r="C18" s="93" t="s">
        <v>159</v>
      </c>
      <c r="D18" s="29">
        <v>-1</v>
      </c>
      <c r="E18" s="10">
        <v>0</v>
      </c>
      <c r="F18" s="29">
        <f t="shared" si="2"/>
        <v>0</v>
      </c>
      <c r="G18" s="285"/>
      <c r="H18" s="29">
        <f t="shared" si="3"/>
        <v>0</v>
      </c>
      <c r="I18" s="5"/>
      <c r="J18" s="5"/>
      <c r="K18" s="5"/>
    </row>
    <row r="19" spans="1:11" ht="47.25" customHeight="1" x14ac:dyDescent="0.25">
      <c r="A19" s="24" t="s">
        <v>7</v>
      </c>
      <c r="B19" s="72" t="s">
        <v>160</v>
      </c>
      <c r="C19" s="96" t="s">
        <v>161</v>
      </c>
      <c r="D19" s="84"/>
      <c r="E19" s="84"/>
      <c r="F19" s="29"/>
      <c r="G19" s="97"/>
      <c r="H19" s="98">
        <f>1.4-0.03*F9</f>
        <v>0.125</v>
      </c>
      <c r="I19" s="5"/>
      <c r="J19" s="5"/>
      <c r="K19" s="5"/>
    </row>
    <row r="20" spans="1:11" ht="15.75" customHeight="1" x14ac:dyDescent="0.25">
      <c r="A20" s="24" t="s">
        <v>9</v>
      </c>
      <c r="B20" s="72" t="s">
        <v>162</v>
      </c>
      <c r="C20" s="72"/>
      <c r="D20" s="84"/>
      <c r="E20" s="84"/>
      <c r="F20" s="29"/>
      <c r="G20" s="97"/>
      <c r="H20" s="99">
        <v>2</v>
      </c>
      <c r="I20" s="5"/>
      <c r="J20" s="5"/>
      <c r="K20" s="5"/>
    </row>
    <row r="21" spans="1:11" ht="47.25" customHeight="1" x14ac:dyDescent="0.25">
      <c r="A21" s="24" t="s">
        <v>11</v>
      </c>
      <c r="B21" s="72" t="s">
        <v>163</v>
      </c>
      <c r="C21" s="72"/>
      <c r="D21" s="84"/>
      <c r="E21" s="84"/>
      <c r="F21" s="29"/>
      <c r="G21" s="97" t="s">
        <v>164</v>
      </c>
      <c r="H21" s="100">
        <f>IF(H20&gt;=3,20,IF(H20&gt;=1,32,48))</f>
        <v>32</v>
      </c>
      <c r="I21" s="5"/>
      <c r="J21" s="5"/>
      <c r="K21" s="5"/>
    </row>
    <row r="22" spans="1:11" ht="15.75" customHeight="1" x14ac:dyDescent="0.25">
      <c r="A22" s="5"/>
      <c r="B22" s="5"/>
      <c r="C22" s="5"/>
      <c r="D22" s="5"/>
      <c r="E22" s="5"/>
      <c r="F22" s="5"/>
      <c r="G22" s="5"/>
      <c r="H22" s="5"/>
      <c r="I22" s="5"/>
      <c r="J22" s="5"/>
      <c r="K22" s="5"/>
    </row>
    <row r="23" spans="1:11" ht="15.75" customHeight="1" x14ac:dyDescent="0.25">
      <c r="A23" s="5"/>
      <c r="B23" s="5"/>
      <c r="C23" s="5"/>
      <c r="D23" s="5"/>
      <c r="E23" s="5"/>
      <c r="F23" s="5"/>
      <c r="G23" s="5"/>
      <c r="H23" s="5"/>
      <c r="I23" s="5"/>
      <c r="J23" s="5"/>
      <c r="K23" s="5"/>
    </row>
    <row r="24" spans="1:11" ht="15.75" customHeight="1" x14ac:dyDescent="0.25">
      <c r="A24" s="5"/>
      <c r="B24" s="5"/>
      <c r="C24" s="5"/>
      <c r="D24" s="5"/>
      <c r="E24" s="5"/>
      <c r="F24" s="5"/>
      <c r="G24" s="5"/>
      <c r="H24" s="5"/>
      <c r="I24" s="5"/>
      <c r="J24" s="5"/>
      <c r="K24" s="5"/>
    </row>
    <row r="25" spans="1:11" ht="15.75" customHeight="1" x14ac:dyDescent="0.25">
      <c r="A25" s="5"/>
      <c r="B25" s="5"/>
      <c r="C25" s="5"/>
      <c r="D25" s="5"/>
      <c r="E25" s="5"/>
      <c r="F25" s="5"/>
      <c r="G25" s="5"/>
      <c r="H25" s="5"/>
      <c r="I25" s="5"/>
      <c r="J25" s="5"/>
      <c r="K25" s="5"/>
    </row>
    <row r="26" spans="1:11" ht="15.75" customHeight="1" x14ac:dyDescent="0.25">
      <c r="A26" s="5"/>
      <c r="B26" s="5"/>
      <c r="C26" s="5"/>
      <c r="D26" s="5"/>
      <c r="E26" s="5"/>
      <c r="F26" s="5"/>
      <c r="G26" s="5"/>
      <c r="H26" s="5"/>
      <c r="I26" s="5"/>
      <c r="J26" s="5"/>
      <c r="K26" s="5"/>
    </row>
    <row r="27" spans="1:11" ht="15.75" customHeight="1" x14ac:dyDescent="0.25">
      <c r="A27" s="5"/>
      <c r="B27" s="5"/>
      <c r="C27" s="5"/>
      <c r="D27" s="5"/>
      <c r="E27" s="5"/>
      <c r="F27" s="5"/>
      <c r="G27" s="5"/>
      <c r="H27" s="5"/>
      <c r="I27" s="5"/>
      <c r="J27" s="5"/>
      <c r="K27" s="5"/>
    </row>
    <row r="28" spans="1:11" ht="15.75" customHeight="1" x14ac:dyDescent="0.25">
      <c r="A28" s="5"/>
      <c r="B28" s="5"/>
      <c r="C28" s="5"/>
      <c r="D28" s="5"/>
      <c r="E28" s="5"/>
      <c r="F28" s="5"/>
      <c r="G28" s="5"/>
      <c r="H28" s="5"/>
      <c r="I28" s="5"/>
      <c r="J28" s="5"/>
      <c r="K28" s="5"/>
    </row>
    <row r="29" spans="1:11" ht="15.75" customHeight="1" x14ac:dyDescent="0.25">
      <c r="A29" s="5"/>
      <c r="B29" s="5"/>
      <c r="C29" s="5"/>
      <c r="D29" s="5"/>
      <c r="E29" s="5"/>
      <c r="F29" s="5"/>
      <c r="G29" s="5"/>
      <c r="H29" s="5"/>
      <c r="I29" s="5"/>
      <c r="J29" s="5"/>
      <c r="K29" s="5"/>
    </row>
    <row r="30" spans="1:11" ht="15.75" customHeight="1" x14ac:dyDescent="0.25">
      <c r="A30" s="5"/>
      <c r="B30" s="5"/>
      <c r="C30" s="5"/>
      <c r="D30" s="5"/>
      <c r="E30" s="5"/>
      <c r="F30" s="5"/>
      <c r="G30" s="5"/>
      <c r="H30" s="5"/>
      <c r="I30" s="5"/>
      <c r="J30" s="5"/>
      <c r="K30" s="5"/>
    </row>
    <row r="31" spans="1:11" ht="15.75" customHeight="1" x14ac:dyDescent="0.25">
      <c r="A31" s="5"/>
      <c r="B31" s="5"/>
      <c r="C31" s="5"/>
      <c r="D31" s="5"/>
      <c r="E31" s="5"/>
      <c r="F31" s="5"/>
      <c r="G31" s="5"/>
      <c r="H31" s="5"/>
      <c r="I31" s="5"/>
      <c r="J31" s="5"/>
      <c r="K31" s="5"/>
    </row>
    <row r="32" spans="1:11" ht="15.75" customHeight="1" x14ac:dyDescent="0.25">
      <c r="A32" s="5"/>
      <c r="B32" s="5"/>
      <c r="C32" s="5"/>
      <c r="D32" s="5"/>
      <c r="E32" s="5"/>
      <c r="F32" s="5"/>
      <c r="G32" s="5"/>
      <c r="H32" s="5"/>
      <c r="I32" s="5"/>
      <c r="J32" s="5"/>
      <c r="K32" s="5"/>
    </row>
    <row r="33" spans="1:11" ht="15.75" customHeight="1" x14ac:dyDescent="0.25">
      <c r="A33" s="5"/>
      <c r="B33" s="5"/>
      <c r="C33" s="5"/>
      <c r="D33" s="5"/>
      <c r="E33" s="5"/>
      <c r="F33" s="5"/>
      <c r="G33" s="5"/>
      <c r="H33" s="5"/>
      <c r="I33" s="5"/>
      <c r="J33" s="5"/>
      <c r="K33" s="5"/>
    </row>
    <row r="34" spans="1:11" ht="15.75" customHeight="1" x14ac:dyDescent="0.25">
      <c r="A34" s="5"/>
      <c r="B34" s="5"/>
      <c r="C34" s="5"/>
      <c r="D34" s="5"/>
      <c r="E34" s="5"/>
      <c r="F34" s="5"/>
      <c r="G34" s="5"/>
      <c r="H34" s="5"/>
      <c r="I34" s="5"/>
      <c r="J34" s="5"/>
      <c r="K34" s="5"/>
    </row>
    <row r="35" spans="1:11" ht="15.75" customHeight="1" x14ac:dyDescent="0.25">
      <c r="A35" s="5"/>
      <c r="B35" s="5"/>
      <c r="C35" s="5"/>
      <c r="D35" s="5"/>
      <c r="E35" s="5"/>
      <c r="F35" s="5"/>
      <c r="G35" s="5"/>
      <c r="H35" s="5"/>
      <c r="I35" s="5"/>
      <c r="J35" s="5"/>
      <c r="K35" s="5"/>
    </row>
    <row r="36" spans="1:11" ht="15.75" customHeight="1" x14ac:dyDescent="0.25">
      <c r="A36" s="5"/>
      <c r="B36" s="5"/>
      <c r="C36" s="5"/>
      <c r="D36" s="5"/>
      <c r="E36" s="5"/>
      <c r="F36" s="5"/>
      <c r="G36" s="5"/>
      <c r="H36" s="5"/>
      <c r="I36" s="5"/>
      <c r="J36" s="5"/>
      <c r="K36" s="5"/>
    </row>
    <row r="37" spans="1:11" ht="15.75" customHeight="1" x14ac:dyDescent="0.25">
      <c r="A37" s="5"/>
      <c r="B37" s="5"/>
      <c r="C37" s="5"/>
      <c r="D37" s="5"/>
      <c r="E37" s="5"/>
      <c r="F37" s="5"/>
      <c r="G37" s="5"/>
      <c r="H37" s="5"/>
      <c r="I37" s="5"/>
      <c r="J37" s="5"/>
      <c r="K37" s="5"/>
    </row>
    <row r="38" spans="1:11" ht="15.75" customHeight="1" x14ac:dyDescent="0.25">
      <c r="A38" s="5"/>
      <c r="B38" s="5"/>
      <c r="C38" s="5"/>
      <c r="D38" s="5"/>
      <c r="E38" s="5"/>
      <c r="F38" s="5"/>
      <c r="G38" s="5"/>
      <c r="H38" s="5"/>
      <c r="I38" s="5"/>
      <c r="J38" s="5"/>
      <c r="K38" s="5"/>
    </row>
    <row r="39" spans="1:11" ht="15.75" customHeight="1" x14ac:dyDescent="0.25">
      <c r="A39" s="5"/>
      <c r="B39" s="5"/>
      <c r="C39" s="5"/>
      <c r="D39" s="5"/>
      <c r="E39" s="5"/>
      <c r="F39" s="5"/>
      <c r="G39" s="5"/>
      <c r="H39" s="5"/>
      <c r="I39" s="5"/>
      <c r="J39" s="5"/>
      <c r="K39" s="5"/>
    </row>
    <row r="40" spans="1:11" ht="15.75" customHeight="1" x14ac:dyDescent="0.25">
      <c r="A40" s="5"/>
      <c r="B40" s="5"/>
      <c r="C40" s="5"/>
      <c r="D40" s="5"/>
      <c r="E40" s="5"/>
      <c r="F40" s="5"/>
      <c r="G40" s="5"/>
      <c r="H40" s="5"/>
      <c r="I40" s="5"/>
      <c r="J40" s="5"/>
      <c r="K40" s="5"/>
    </row>
    <row r="41" spans="1:11" ht="15.75" customHeight="1" x14ac:dyDescent="0.25">
      <c r="A41" s="5"/>
      <c r="B41" s="5"/>
      <c r="C41" s="5"/>
      <c r="D41" s="5"/>
      <c r="E41" s="5"/>
      <c r="F41" s="5"/>
      <c r="G41" s="5"/>
      <c r="H41" s="5"/>
      <c r="I41" s="5"/>
      <c r="J41" s="5"/>
      <c r="K41" s="5"/>
    </row>
    <row r="42" spans="1:11" ht="15.75" customHeight="1" x14ac:dyDescent="0.25">
      <c r="A42" s="5"/>
      <c r="B42" s="5"/>
      <c r="C42" s="5"/>
      <c r="D42" s="5"/>
      <c r="E42" s="5"/>
      <c r="F42" s="5"/>
      <c r="G42" s="5"/>
      <c r="H42" s="5"/>
      <c r="I42" s="5"/>
      <c r="J42" s="5"/>
      <c r="K42" s="5"/>
    </row>
    <row r="43" spans="1:11" ht="15.75" customHeight="1" x14ac:dyDescent="0.25">
      <c r="A43" s="5"/>
      <c r="B43" s="5"/>
      <c r="C43" s="5"/>
      <c r="D43" s="5"/>
      <c r="E43" s="5"/>
      <c r="F43" s="5"/>
      <c r="G43" s="5"/>
      <c r="H43" s="5"/>
      <c r="I43" s="5"/>
      <c r="J43" s="5"/>
      <c r="K43" s="5"/>
    </row>
    <row r="44" spans="1:11" ht="15.75" customHeight="1" x14ac:dyDescent="0.25">
      <c r="A44" s="5"/>
      <c r="B44" s="5"/>
      <c r="C44" s="5"/>
      <c r="D44" s="5"/>
      <c r="E44" s="5"/>
      <c r="F44" s="5"/>
      <c r="G44" s="5"/>
      <c r="H44" s="5"/>
      <c r="I44" s="5"/>
      <c r="J44" s="5"/>
      <c r="K44" s="5"/>
    </row>
    <row r="45" spans="1:11" ht="15.75" customHeight="1" x14ac:dyDescent="0.25">
      <c r="A45" s="5"/>
      <c r="B45" s="5"/>
      <c r="C45" s="5"/>
      <c r="D45" s="5"/>
      <c r="E45" s="5"/>
      <c r="F45" s="5"/>
      <c r="G45" s="5"/>
      <c r="H45" s="5"/>
      <c r="I45" s="5"/>
      <c r="J45" s="5"/>
      <c r="K45" s="5"/>
    </row>
    <row r="46" spans="1:11" ht="15.75" customHeight="1" x14ac:dyDescent="0.25">
      <c r="A46" s="5"/>
      <c r="B46" s="5"/>
      <c r="C46" s="5"/>
      <c r="D46" s="5"/>
      <c r="E46" s="5"/>
      <c r="F46" s="5"/>
      <c r="G46" s="5"/>
      <c r="H46" s="5"/>
      <c r="I46" s="5"/>
      <c r="J46" s="5"/>
      <c r="K46" s="5"/>
    </row>
    <row r="47" spans="1:11" ht="15.75" customHeight="1" x14ac:dyDescent="0.25">
      <c r="A47" s="5"/>
      <c r="B47" s="5"/>
      <c r="C47" s="5"/>
      <c r="D47" s="5"/>
      <c r="E47" s="5"/>
      <c r="F47" s="5"/>
      <c r="G47" s="5"/>
      <c r="H47" s="5"/>
      <c r="I47" s="5"/>
      <c r="J47" s="5"/>
      <c r="K47" s="5"/>
    </row>
    <row r="48" spans="1:11" ht="15.75" customHeight="1" x14ac:dyDescent="0.25">
      <c r="A48" s="5"/>
      <c r="B48" s="5"/>
      <c r="C48" s="5"/>
      <c r="D48" s="5"/>
      <c r="E48" s="5"/>
      <c r="F48" s="5"/>
      <c r="G48" s="5"/>
      <c r="H48" s="5"/>
      <c r="I48" s="5"/>
      <c r="J48" s="5"/>
      <c r="K48" s="5"/>
    </row>
    <row r="49" spans="1:11" ht="15.75" customHeight="1" x14ac:dyDescent="0.25">
      <c r="A49" s="5"/>
      <c r="B49" s="5"/>
      <c r="C49" s="5"/>
      <c r="D49" s="5"/>
      <c r="E49" s="5"/>
      <c r="F49" s="5"/>
      <c r="G49" s="5"/>
      <c r="H49" s="5"/>
      <c r="I49" s="5"/>
      <c r="J49" s="5"/>
      <c r="K49" s="5"/>
    </row>
    <row r="50" spans="1:11" ht="15.75" customHeight="1" x14ac:dyDescent="0.25">
      <c r="A50" s="5"/>
      <c r="B50" s="5"/>
      <c r="C50" s="5"/>
      <c r="D50" s="5"/>
      <c r="E50" s="5"/>
      <c r="F50" s="5"/>
      <c r="G50" s="5"/>
      <c r="H50" s="5"/>
      <c r="I50" s="5"/>
      <c r="J50" s="5"/>
      <c r="K50" s="5"/>
    </row>
    <row r="51" spans="1:11" ht="15.75" customHeight="1" x14ac:dyDescent="0.25">
      <c r="A51" s="5"/>
      <c r="B51" s="5"/>
      <c r="C51" s="5"/>
      <c r="D51" s="5"/>
      <c r="E51" s="5"/>
      <c r="F51" s="5"/>
      <c r="G51" s="5"/>
      <c r="H51" s="5"/>
      <c r="I51" s="5"/>
      <c r="J51" s="5"/>
      <c r="K51" s="5"/>
    </row>
    <row r="52" spans="1:11" ht="15.75" customHeight="1" x14ac:dyDescent="0.25">
      <c r="A52" s="5"/>
      <c r="B52" s="5"/>
      <c r="C52" s="5"/>
      <c r="D52" s="5"/>
      <c r="E52" s="5"/>
      <c r="F52" s="5"/>
      <c r="G52" s="5"/>
      <c r="H52" s="5"/>
      <c r="I52" s="5"/>
      <c r="J52" s="5"/>
      <c r="K52" s="5"/>
    </row>
    <row r="53" spans="1:11" ht="15.75" customHeight="1" x14ac:dyDescent="0.25">
      <c r="A53" s="5"/>
      <c r="B53" s="5"/>
      <c r="C53" s="5"/>
      <c r="D53" s="5"/>
      <c r="E53" s="5"/>
      <c r="F53" s="5"/>
      <c r="G53" s="5"/>
      <c r="H53" s="5"/>
      <c r="I53" s="5"/>
      <c r="J53" s="5"/>
      <c r="K53" s="5"/>
    </row>
    <row r="54" spans="1:11" ht="15.75" customHeight="1" x14ac:dyDescent="0.25">
      <c r="A54" s="5"/>
      <c r="B54" s="5"/>
      <c r="C54" s="5"/>
      <c r="D54" s="5"/>
      <c r="E54" s="5"/>
      <c r="F54" s="5"/>
      <c r="G54" s="5"/>
      <c r="H54" s="5"/>
      <c r="I54" s="5"/>
      <c r="J54" s="5"/>
      <c r="K54" s="5"/>
    </row>
    <row r="55" spans="1:11" ht="15.75" customHeight="1" x14ac:dyDescent="0.25">
      <c r="A55" s="5"/>
      <c r="B55" s="5"/>
      <c r="C55" s="5"/>
      <c r="D55" s="5"/>
      <c r="E55" s="5"/>
      <c r="F55" s="5"/>
      <c r="G55" s="5"/>
      <c r="H55" s="5"/>
      <c r="I55" s="5"/>
      <c r="J55" s="5"/>
      <c r="K55" s="5"/>
    </row>
    <row r="56" spans="1:11" ht="15.75" customHeight="1" x14ac:dyDescent="0.25">
      <c r="A56" s="5"/>
      <c r="B56" s="5"/>
      <c r="C56" s="5"/>
      <c r="D56" s="5"/>
      <c r="E56" s="5"/>
      <c r="F56" s="5"/>
      <c r="G56" s="5"/>
      <c r="H56" s="5"/>
      <c r="I56" s="5"/>
      <c r="J56" s="5"/>
      <c r="K56" s="5"/>
    </row>
    <row r="57" spans="1:11" ht="15.75" customHeight="1" x14ac:dyDescent="0.25">
      <c r="A57" s="5"/>
      <c r="B57" s="5"/>
      <c r="C57" s="5"/>
      <c r="D57" s="5"/>
      <c r="E57" s="5"/>
      <c r="F57" s="5"/>
      <c r="G57" s="5"/>
      <c r="H57" s="5"/>
      <c r="I57" s="5"/>
      <c r="J57" s="5"/>
      <c r="K57" s="5"/>
    </row>
    <row r="58" spans="1:11" ht="15.75" customHeight="1" x14ac:dyDescent="0.25">
      <c r="A58" s="5"/>
      <c r="B58" s="5"/>
      <c r="C58" s="5"/>
      <c r="D58" s="5"/>
      <c r="E58" s="5"/>
      <c r="F58" s="5"/>
      <c r="G58" s="5"/>
      <c r="H58" s="5"/>
      <c r="I58" s="5"/>
      <c r="J58" s="5"/>
      <c r="K58" s="5"/>
    </row>
    <row r="59" spans="1:11" ht="15.75" customHeight="1" x14ac:dyDescent="0.25">
      <c r="A59" s="5"/>
      <c r="B59" s="5"/>
      <c r="C59" s="5"/>
      <c r="D59" s="5"/>
      <c r="E59" s="5"/>
      <c r="F59" s="5"/>
      <c r="G59" s="5"/>
      <c r="H59" s="5"/>
      <c r="I59" s="5"/>
      <c r="J59" s="5"/>
      <c r="K59" s="5"/>
    </row>
    <row r="60" spans="1:11" ht="15.75" customHeight="1" x14ac:dyDescent="0.25">
      <c r="A60" s="5"/>
      <c r="B60" s="5"/>
      <c r="C60" s="5"/>
      <c r="D60" s="5"/>
      <c r="E60" s="5"/>
      <c r="F60" s="5"/>
      <c r="G60" s="5"/>
      <c r="H60" s="5"/>
      <c r="I60" s="5"/>
      <c r="J60" s="5"/>
      <c r="K60" s="5"/>
    </row>
    <row r="61" spans="1:11" ht="15.75" customHeight="1" x14ac:dyDescent="0.25">
      <c r="A61" s="5"/>
      <c r="B61" s="5"/>
      <c r="C61" s="5"/>
      <c r="D61" s="5"/>
      <c r="E61" s="5"/>
      <c r="F61" s="5"/>
      <c r="G61" s="5"/>
      <c r="H61" s="5"/>
      <c r="I61" s="5"/>
      <c r="J61" s="5"/>
      <c r="K61" s="5"/>
    </row>
    <row r="62" spans="1:11" ht="15.75" customHeight="1" x14ac:dyDescent="0.25">
      <c r="A62" s="5"/>
      <c r="B62" s="5"/>
      <c r="C62" s="5"/>
      <c r="D62" s="5"/>
      <c r="E62" s="5"/>
      <c r="F62" s="5"/>
      <c r="G62" s="5"/>
      <c r="H62" s="5"/>
      <c r="I62" s="5"/>
      <c r="J62" s="5"/>
      <c r="K62" s="5"/>
    </row>
    <row r="63" spans="1:11" ht="15.75" customHeight="1" x14ac:dyDescent="0.25">
      <c r="A63" s="5"/>
      <c r="B63" s="5"/>
      <c r="C63" s="5"/>
      <c r="D63" s="5"/>
      <c r="E63" s="5"/>
      <c r="F63" s="5"/>
      <c r="G63" s="5"/>
      <c r="H63" s="5"/>
      <c r="I63" s="5"/>
      <c r="J63" s="5"/>
      <c r="K63" s="5"/>
    </row>
    <row r="64" spans="1:11" ht="15.75" customHeight="1" x14ac:dyDescent="0.25">
      <c r="A64" s="5"/>
      <c r="B64" s="5"/>
      <c r="C64" s="5"/>
      <c r="D64" s="5"/>
      <c r="E64" s="5"/>
      <c r="F64" s="5"/>
      <c r="G64" s="5"/>
      <c r="H64" s="5"/>
      <c r="I64" s="5"/>
      <c r="J64" s="5"/>
      <c r="K64" s="5"/>
    </row>
    <row r="65" spans="1:11" ht="15.75" customHeight="1" x14ac:dyDescent="0.25">
      <c r="A65" s="5"/>
      <c r="B65" s="5"/>
      <c r="C65" s="5"/>
      <c r="D65" s="5"/>
      <c r="E65" s="5"/>
      <c r="F65" s="5"/>
      <c r="G65" s="5"/>
      <c r="H65" s="5"/>
      <c r="I65" s="5"/>
      <c r="J65" s="5"/>
      <c r="K65" s="5"/>
    </row>
    <row r="66" spans="1:11" ht="15.75" customHeight="1" x14ac:dyDescent="0.25">
      <c r="A66" s="5"/>
      <c r="B66" s="5"/>
      <c r="C66" s="5"/>
      <c r="D66" s="5"/>
      <c r="E66" s="5"/>
      <c r="F66" s="5"/>
      <c r="G66" s="5"/>
      <c r="H66" s="5"/>
      <c r="I66" s="5"/>
      <c r="J66" s="5"/>
      <c r="K66" s="5"/>
    </row>
    <row r="67" spans="1:11" ht="15.75" customHeight="1" x14ac:dyDescent="0.25">
      <c r="A67" s="5"/>
      <c r="B67" s="5"/>
      <c r="C67" s="5"/>
      <c r="D67" s="5"/>
      <c r="E67" s="5"/>
      <c r="F67" s="5"/>
      <c r="G67" s="5"/>
      <c r="H67" s="5"/>
      <c r="I67" s="5"/>
      <c r="J67" s="5"/>
      <c r="K67" s="5"/>
    </row>
    <row r="68" spans="1:11" ht="15.75" customHeight="1" x14ac:dyDescent="0.25">
      <c r="A68" s="5"/>
      <c r="B68" s="5"/>
      <c r="C68" s="5"/>
      <c r="D68" s="5"/>
      <c r="E68" s="5"/>
      <c r="F68" s="5"/>
      <c r="G68" s="5"/>
      <c r="H68" s="5"/>
      <c r="I68" s="5"/>
      <c r="J68" s="5"/>
      <c r="K68" s="5"/>
    </row>
    <row r="69" spans="1:11" ht="15.75" customHeight="1" x14ac:dyDescent="0.25">
      <c r="A69" s="5"/>
      <c r="B69" s="5"/>
      <c r="C69" s="5"/>
      <c r="D69" s="5"/>
      <c r="E69" s="5"/>
      <c r="F69" s="5"/>
      <c r="G69" s="5"/>
      <c r="H69" s="5"/>
      <c r="I69" s="5"/>
      <c r="J69" s="5"/>
      <c r="K69" s="5"/>
    </row>
    <row r="70" spans="1:11" ht="15.75" customHeight="1" x14ac:dyDescent="0.25">
      <c r="A70" s="5"/>
      <c r="B70" s="5"/>
      <c r="C70" s="5"/>
      <c r="D70" s="5"/>
      <c r="E70" s="5"/>
      <c r="F70" s="5"/>
      <c r="G70" s="5"/>
      <c r="H70" s="5"/>
      <c r="I70" s="5"/>
      <c r="J70" s="5"/>
      <c r="K70" s="5"/>
    </row>
    <row r="71" spans="1:11" ht="15.75" customHeight="1" x14ac:dyDescent="0.25">
      <c r="A71" s="5"/>
      <c r="B71" s="5"/>
      <c r="C71" s="5"/>
      <c r="D71" s="5"/>
      <c r="E71" s="5"/>
      <c r="F71" s="5"/>
      <c r="G71" s="5"/>
      <c r="H71" s="5"/>
      <c r="I71" s="5"/>
      <c r="J71" s="5"/>
      <c r="K71" s="5"/>
    </row>
    <row r="72" spans="1:11" ht="15.75" customHeight="1" x14ac:dyDescent="0.25">
      <c r="A72" s="5"/>
      <c r="B72" s="5"/>
      <c r="C72" s="5"/>
      <c r="D72" s="5"/>
      <c r="E72" s="5"/>
      <c r="F72" s="5"/>
      <c r="G72" s="5"/>
      <c r="H72" s="5"/>
      <c r="I72" s="5"/>
      <c r="J72" s="5"/>
      <c r="K72" s="5"/>
    </row>
    <row r="73" spans="1:11" ht="15.75" customHeight="1" x14ac:dyDescent="0.25">
      <c r="A73" s="5"/>
      <c r="B73" s="5"/>
      <c r="C73" s="5"/>
      <c r="D73" s="5"/>
      <c r="E73" s="5"/>
      <c r="F73" s="5"/>
      <c r="G73" s="5"/>
      <c r="H73" s="5"/>
      <c r="I73" s="5"/>
      <c r="J73" s="5"/>
      <c r="K73" s="5"/>
    </row>
    <row r="74" spans="1:11" ht="15.75" customHeight="1" x14ac:dyDescent="0.25">
      <c r="A74" s="5"/>
      <c r="B74" s="5"/>
      <c r="C74" s="5"/>
      <c r="D74" s="5"/>
      <c r="E74" s="5"/>
      <c r="F74" s="5"/>
      <c r="G74" s="5"/>
      <c r="H74" s="5"/>
      <c r="I74" s="5"/>
      <c r="J74" s="5"/>
      <c r="K74" s="5"/>
    </row>
    <row r="75" spans="1:11" ht="15.75" customHeight="1" x14ac:dyDescent="0.25">
      <c r="A75" s="5"/>
      <c r="B75" s="5"/>
      <c r="C75" s="5"/>
      <c r="D75" s="5"/>
      <c r="E75" s="5"/>
      <c r="F75" s="5"/>
      <c r="G75" s="5"/>
      <c r="H75" s="5"/>
      <c r="I75" s="5"/>
      <c r="J75" s="5"/>
      <c r="K75" s="5"/>
    </row>
    <row r="76" spans="1:11" ht="15.75" customHeight="1" x14ac:dyDescent="0.25">
      <c r="A76" s="5"/>
      <c r="B76" s="5"/>
      <c r="C76" s="5"/>
      <c r="D76" s="5"/>
      <c r="E76" s="5"/>
      <c r="F76" s="5"/>
      <c r="G76" s="5"/>
      <c r="H76" s="5"/>
      <c r="I76" s="5"/>
      <c r="J76" s="5"/>
      <c r="K76" s="5"/>
    </row>
    <row r="77" spans="1:11" ht="15.75" customHeight="1" x14ac:dyDescent="0.25">
      <c r="A77" s="5"/>
      <c r="B77" s="5"/>
      <c r="C77" s="5"/>
      <c r="D77" s="5"/>
      <c r="E77" s="5"/>
      <c r="F77" s="5"/>
      <c r="G77" s="5"/>
      <c r="H77" s="5"/>
      <c r="I77" s="5"/>
      <c r="J77" s="5"/>
      <c r="K77" s="5"/>
    </row>
    <row r="78" spans="1:11" ht="15.75" customHeight="1" x14ac:dyDescent="0.25">
      <c r="A78" s="5"/>
      <c r="B78" s="5"/>
      <c r="C78" s="5"/>
      <c r="D78" s="5"/>
      <c r="E78" s="5"/>
      <c r="F78" s="5"/>
      <c r="G78" s="5"/>
      <c r="H78" s="5"/>
      <c r="I78" s="5"/>
      <c r="J78" s="5"/>
      <c r="K78" s="5"/>
    </row>
    <row r="79" spans="1:11" ht="15.75" customHeight="1" x14ac:dyDescent="0.25">
      <c r="A79" s="5"/>
      <c r="B79" s="5"/>
      <c r="C79" s="5"/>
      <c r="D79" s="5"/>
      <c r="E79" s="5"/>
      <c r="F79" s="5"/>
      <c r="G79" s="5"/>
      <c r="H79" s="5"/>
      <c r="I79" s="5"/>
      <c r="J79" s="5"/>
      <c r="K79" s="5"/>
    </row>
    <row r="80" spans="1:11" ht="15.75" customHeight="1" x14ac:dyDescent="0.25">
      <c r="A80" s="5"/>
      <c r="B80" s="5"/>
      <c r="C80" s="5"/>
      <c r="D80" s="5"/>
      <c r="E80" s="5"/>
      <c r="F80" s="5"/>
      <c r="G80" s="5"/>
      <c r="H80" s="5"/>
      <c r="I80" s="5"/>
      <c r="J80" s="5"/>
      <c r="K80" s="5"/>
    </row>
    <row r="81" spans="1:11" ht="15.75" customHeight="1" x14ac:dyDescent="0.25">
      <c r="A81" s="5"/>
      <c r="B81" s="5"/>
      <c r="C81" s="5"/>
      <c r="D81" s="5"/>
      <c r="E81" s="5"/>
      <c r="F81" s="5"/>
      <c r="G81" s="5"/>
      <c r="H81" s="5"/>
      <c r="I81" s="5"/>
      <c r="J81" s="5"/>
      <c r="K81" s="5"/>
    </row>
    <row r="82" spans="1:11" ht="15.75" customHeight="1" x14ac:dyDescent="0.25">
      <c r="A82" s="5"/>
      <c r="B82" s="5"/>
      <c r="C82" s="5"/>
      <c r="D82" s="5"/>
      <c r="E82" s="5"/>
      <c r="F82" s="5"/>
      <c r="G82" s="5"/>
      <c r="H82" s="5"/>
      <c r="I82" s="5"/>
      <c r="J82" s="5"/>
      <c r="K82" s="5"/>
    </row>
    <row r="83" spans="1:11" ht="15.75" customHeight="1" x14ac:dyDescent="0.25">
      <c r="A83" s="5"/>
      <c r="B83" s="5"/>
      <c r="C83" s="5"/>
      <c r="D83" s="5"/>
      <c r="E83" s="5"/>
      <c r="F83" s="5"/>
      <c r="G83" s="5"/>
      <c r="H83" s="5"/>
      <c r="I83" s="5"/>
      <c r="J83" s="5"/>
      <c r="K83" s="5"/>
    </row>
    <row r="84" spans="1:11" ht="15.75" customHeight="1" x14ac:dyDescent="0.25">
      <c r="A84" s="5"/>
      <c r="B84" s="5"/>
      <c r="C84" s="5"/>
      <c r="D84" s="5"/>
      <c r="E84" s="5"/>
      <c r="F84" s="5"/>
      <c r="G84" s="5"/>
      <c r="H84" s="5"/>
      <c r="I84" s="5"/>
      <c r="J84" s="5"/>
      <c r="K84" s="5"/>
    </row>
    <row r="85" spans="1:11" ht="15.75" customHeight="1" x14ac:dyDescent="0.25">
      <c r="A85" s="5"/>
      <c r="B85" s="5"/>
      <c r="C85" s="5"/>
      <c r="D85" s="5"/>
      <c r="E85" s="5"/>
      <c r="F85" s="5"/>
      <c r="G85" s="5"/>
      <c r="H85" s="5"/>
      <c r="I85" s="5"/>
      <c r="J85" s="5"/>
      <c r="K85" s="5"/>
    </row>
    <row r="86" spans="1:11" ht="15.75" customHeight="1" x14ac:dyDescent="0.25">
      <c r="A86" s="5"/>
      <c r="B86" s="5"/>
      <c r="C86" s="5"/>
      <c r="D86" s="5"/>
      <c r="E86" s="5"/>
      <c r="F86" s="5"/>
      <c r="G86" s="5"/>
      <c r="H86" s="5"/>
      <c r="I86" s="5"/>
      <c r="J86" s="5"/>
      <c r="K86" s="5"/>
    </row>
    <row r="87" spans="1:11" ht="15.75" customHeight="1" x14ac:dyDescent="0.25">
      <c r="A87" s="5"/>
      <c r="B87" s="5"/>
      <c r="C87" s="5"/>
      <c r="D87" s="5"/>
      <c r="E87" s="5"/>
      <c r="F87" s="5"/>
      <c r="G87" s="5"/>
      <c r="H87" s="5"/>
      <c r="I87" s="5"/>
      <c r="J87" s="5"/>
      <c r="K87" s="5"/>
    </row>
    <row r="88" spans="1:11" ht="15.75" customHeight="1" x14ac:dyDescent="0.25">
      <c r="A88" s="5"/>
      <c r="B88" s="5"/>
      <c r="C88" s="5"/>
      <c r="D88" s="5"/>
      <c r="E88" s="5"/>
      <c r="F88" s="5"/>
      <c r="G88" s="5"/>
      <c r="H88" s="5"/>
      <c r="I88" s="5"/>
      <c r="J88" s="5"/>
      <c r="K88" s="5"/>
    </row>
    <row r="89" spans="1:11" ht="15.75" customHeight="1" x14ac:dyDescent="0.25">
      <c r="A89" s="5"/>
      <c r="B89" s="5"/>
      <c r="C89" s="5"/>
      <c r="D89" s="5"/>
      <c r="E89" s="5"/>
      <c r="F89" s="5"/>
      <c r="G89" s="5"/>
      <c r="H89" s="5"/>
      <c r="I89" s="5"/>
      <c r="J89" s="5"/>
      <c r="K89" s="5"/>
    </row>
    <row r="90" spans="1:11" ht="15.75" customHeight="1" x14ac:dyDescent="0.25">
      <c r="A90" s="5"/>
      <c r="B90" s="5"/>
      <c r="C90" s="5"/>
      <c r="D90" s="5"/>
      <c r="E90" s="5"/>
      <c r="F90" s="5"/>
      <c r="G90" s="5"/>
      <c r="H90" s="5"/>
      <c r="I90" s="5"/>
      <c r="J90" s="5"/>
      <c r="K90" s="5"/>
    </row>
    <row r="91" spans="1:11" ht="15.75" customHeight="1" x14ac:dyDescent="0.25">
      <c r="A91" s="5"/>
      <c r="B91" s="5"/>
      <c r="C91" s="5"/>
      <c r="D91" s="5"/>
      <c r="E91" s="5"/>
      <c r="F91" s="5"/>
      <c r="G91" s="5"/>
      <c r="H91" s="5"/>
      <c r="I91" s="5"/>
      <c r="J91" s="5"/>
      <c r="K91" s="5"/>
    </row>
    <row r="92" spans="1:11" ht="15.75" customHeight="1" x14ac:dyDescent="0.25">
      <c r="A92" s="5"/>
      <c r="B92" s="5"/>
      <c r="C92" s="5"/>
      <c r="D92" s="5"/>
      <c r="E92" s="5"/>
      <c r="F92" s="5"/>
      <c r="G92" s="5"/>
      <c r="H92" s="5"/>
      <c r="I92" s="5"/>
      <c r="J92" s="5"/>
      <c r="K92" s="5"/>
    </row>
    <row r="93" spans="1:11" ht="15.75" customHeight="1" x14ac:dyDescent="0.25">
      <c r="A93" s="5"/>
      <c r="B93" s="5"/>
      <c r="C93" s="5"/>
      <c r="D93" s="5"/>
      <c r="E93" s="5"/>
      <c r="F93" s="5"/>
      <c r="G93" s="5"/>
      <c r="H93" s="5"/>
      <c r="I93" s="5"/>
      <c r="J93" s="5"/>
      <c r="K93" s="5"/>
    </row>
    <row r="94" spans="1:11" ht="15.75" customHeight="1" x14ac:dyDescent="0.25">
      <c r="A94" s="5"/>
      <c r="B94" s="5"/>
      <c r="C94" s="5"/>
      <c r="D94" s="5"/>
      <c r="E94" s="5"/>
      <c r="F94" s="5"/>
      <c r="G94" s="5"/>
      <c r="H94" s="5"/>
      <c r="I94" s="5"/>
      <c r="J94" s="5"/>
      <c r="K94" s="5"/>
    </row>
    <row r="95" spans="1:11" ht="15.75" customHeight="1" x14ac:dyDescent="0.25">
      <c r="A95" s="5"/>
      <c r="B95" s="5"/>
      <c r="C95" s="5"/>
      <c r="D95" s="5"/>
      <c r="E95" s="5"/>
      <c r="F95" s="5"/>
      <c r="G95" s="5"/>
      <c r="H95" s="5"/>
      <c r="I95" s="5"/>
      <c r="J95" s="5"/>
      <c r="K95" s="5"/>
    </row>
    <row r="96" spans="1:11" ht="15.75" customHeight="1" x14ac:dyDescent="0.25">
      <c r="A96" s="5"/>
      <c r="B96" s="5"/>
      <c r="C96" s="5"/>
      <c r="D96" s="5"/>
      <c r="E96" s="5"/>
      <c r="F96" s="5"/>
      <c r="G96" s="5"/>
      <c r="H96" s="5"/>
      <c r="I96" s="5"/>
      <c r="J96" s="5"/>
      <c r="K96" s="5"/>
    </row>
    <row r="97" spans="1:11" ht="15.75" customHeight="1" x14ac:dyDescent="0.25">
      <c r="A97" s="5"/>
      <c r="B97" s="5"/>
      <c r="C97" s="5"/>
      <c r="D97" s="5"/>
      <c r="E97" s="5"/>
      <c r="F97" s="5"/>
      <c r="G97" s="5"/>
      <c r="H97" s="5"/>
      <c r="I97" s="5"/>
      <c r="J97" s="5"/>
      <c r="K97" s="5"/>
    </row>
    <row r="98" spans="1:11" ht="15.75" customHeight="1" x14ac:dyDescent="0.25">
      <c r="A98" s="5"/>
      <c r="B98" s="5"/>
      <c r="C98" s="5"/>
      <c r="D98" s="5"/>
      <c r="E98" s="5"/>
      <c r="F98" s="5"/>
      <c r="G98" s="5"/>
      <c r="H98" s="5"/>
      <c r="I98" s="5"/>
      <c r="J98" s="5"/>
      <c r="K98" s="5"/>
    </row>
    <row r="99" spans="1:11" ht="15.75" customHeight="1" x14ac:dyDescent="0.25">
      <c r="A99" s="5"/>
      <c r="B99" s="5"/>
      <c r="C99" s="5"/>
      <c r="D99" s="5"/>
      <c r="E99" s="5"/>
      <c r="F99" s="5"/>
      <c r="G99" s="5"/>
      <c r="H99" s="5"/>
      <c r="I99" s="5"/>
      <c r="J99" s="5"/>
      <c r="K99" s="5"/>
    </row>
    <row r="100" spans="1:11" ht="15.75" customHeight="1" x14ac:dyDescent="0.25">
      <c r="A100" s="5"/>
      <c r="B100" s="5"/>
      <c r="C100" s="5"/>
      <c r="D100" s="5"/>
      <c r="E100" s="5"/>
      <c r="F100" s="5"/>
      <c r="G100" s="5"/>
      <c r="H100" s="5"/>
      <c r="I100" s="5"/>
      <c r="J100" s="5"/>
      <c r="K100" s="5"/>
    </row>
  </sheetData>
  <mergeCells count="4">
    <mergeCell ref="A5:H5"/>
    <mergeCell ref="C11:C13"/>
    <mergeCell ref="G10:G18"/>
    <mergeCell ref="A6:H6"/>
  </mergeCells>
  <pageMargins left="0.7" right="0.7" top="0.75" bottom="0.75" header="0" footer="0"/>
  <pageSetup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EA645-F4EE-4403-879A-A923662CE24B}">
  <sheetPr>
    <tabColor theme="8" tint="0.59999389629810485"/>
  </sheetPr>
  <dimension ref="A1:AF101"/>
  <sheetViews>
    <sheetView workbookViewId="0">
      <selection activeCell="B11" sqref="B11"/>
    </sheetView>
  </sheetViews>
  <sheetFormatPr defaultColWidth="14.42578125" defaultRowHeight="15" customHeight="1" x14ac:dyDescent="0.25"/>
  <cols>
    <col min="1" max="1" width="10" style="179" customWidth="1"/>
    <col min="2" max="2" width="19.7109375" style="179" customWidth="1"/>
    <col min="3" max="3" width="7.7109375" style="179" customWidth="1"/>
    <col min="4" max="4" width="12" style="179" customWidth="1"/>
    <col min="5" max="5" width="11.140625" style="179" customWidth="1"/>
    <col min="6" max="8" width="12.28515625" style="179" customWidth="1"/>
    <col min="9" max="11" width="13.42578125" style="179" customWidth="1"/>
    <col min="12" max="12" width="23" style="179" customWidth="1"/>
    <col min="13" max="32" width="9.85546875" style="179" customWidth="1"/>
    <col min="33" max="16384" width="14.42578125" style="179"/>
  </cols>
  <sheetData>
    <row r="1" spans="1:32" ht="15.75" x14ac:dyDescent="0.25">
      <c r="A1" s="178"/>
      <c r="B1" s="304" t="s">
        <v>274</v>
      </c>
      <c r="C1" s="305"/>
      <c r="D1" s="305"/>
      <c r="E1" s="305"/>
      <c r="F1" s="305"/>
      <c r="G1" s="305"/>
      <c r="H1" s="305"/>
      <c r="I1" s="305"/>
      <c r="J1" s="305"/>
      <c r="K1" s="305"/>
      <c r="L1" s="305"/>
      <c r="M1" s="178"/>
      <c r="N1" s="178"/>
      <c r="O1" s="178"/>
      <c r="P1" s="178"/>
      <c r="Q1" s="178"/>
      <c r="R1" s="178"/>
      <c r="S1" s="178"/>
      <c r="T1" s="178"/>
      <c r="U1" s="178"/>
      <c r="V1" s="178"/>
      <c r="W1" s="178"/>
      <c r="X1" s="178"/>
      <c r="Y1" s="178"/>
      <c r="Z1" s="178"/>
      <c r="AA1" s="178"/>
      <c r="AB1" s="178"/>
      <c r="AC1" s="178"/>
      <c r="AD1" s="178"/>
      <c r="AE1" s="178"/>
      <c r="AF1" s="178"/>
    </row>
    <row r="2" spans="1:32" ht="15.75" x14ac:dyDescent="0.25">
      <c r="A2" s="178"/>
      <c r="B2" s="180"/>
      <c r="C2" s="181"/>
      <c r="D2" s="181"/>
      <c r="E2" s="181"/>
      <c r="F2" s="181"/>
      <c r="G2" s="181"/>
      <c r="H2" s="181"/>
      <c r="I2" s="181"/>
      <c r="J2" s="181"/>
      <c r="K2" s="306" t="s">
        <v>275</v>
      </c>
      <c r="L2" s="307"/>
      <c r="M2" s="178"/>
      <c r="N2" s="178"/>
      <c r="O2" s="178"/>
      <c r="P2" s="178"/>
      <c r="Q2" s="178"/>
      <c r="R2" s="178"/>
      <c r="S2" s="178"/>
      <c r="T2" s="178"/>
      <c r="U2" s="178"/>
      <c r="V2" s="178"/>
      <c r="W2" s="178"/>
      <c r="X2" s="178"/>
      <c r="Y2" s="178"/>
      <c r="Z2" s="178"/>
      <c r="AA2" s="178"/>
      <c r="AB2" s="178"/>
      <c r="AC2" s="178"/>
      <c r="AD2" s="178"/>
      <c r="AE2" s="178"/>
      <c r="AF2" s="178"/>
    </row>
    <row r="3" spans="1:32" ht="30" customHeight="1" x14ac:dyDescent="0.25">
      <c r="A3" s="182" t="s">
        <v>33</v>
      </c>
      <c r="B3" s="183" t="s">
        <v>34</v>
      </c>
      <c r="C3" s="308" t="s">
        <v>17</v>
      </c>
      <c r="D3" s="303"/>
      <c r="E3" s="183" t="s">
        <v>276</v>
      </c>
      <c r="F3" s="183" t="s">
        <v>277</v>
      </c>
      <c r="G3" s="183" t="s">
        <v>278</v>
      </c>
      <c r="H3" s="183" t="s">
        <v>279</v>
      </c>
      <c r="I3" s="183" t="s">
        <v>280</v>
      </c>
      <c r="J3" s="183" t="s">
        <v>281</v>
      </c>
      <c r="K3" s="183" t="s">
        <v>282</v>
      </c>
      <c r="L3" s="183" t="s">
        <v>19</v>
      </c>
      <c r="M3" s="178"/>
      <c r="N3" s="178"/>
      <c r="O3" s="178"/>
      <c r="P3" s="178"/>
      <c r="Q3" s="178"/>
      <c r="R3" s="178"/>
      <c r="S3" s="178"/>
      <c r="T3" s="178"/>
      <c r="U3" s="178"/>
      <c r="V3" s="178"/>
      <c r="W3" s="178"/>
      <c r="X3" s="178"/>
      <c r="Y3" s="178"/>
      <c r="Z3" s="178"/>
      <c r="AA3" s="178"/>
      <c r="AB3" s="178"/>
      <c r="AC3" s="178"/>
      <c r="AD3" s="178"/>
      <c r="AE3" s="178"/>
      <c r="AF3" s="178"/>
    </row>
    <row r="4" spans="1:32" ht="63" x14ac:dyDescent="0.25">
      <c r="A4" s="182">
        <v>1</v>
      </c>
      <c r="B4" s="184" t="s">
        <v>283</v>
      </c>
      <c r="C4" s="185"/>
      <c r="D4" s="184"/>
      <c r="E4" s="186">
        <f t="shared" ref="E4:K4" si="0">E22</f>
        <v>1.1499999999999999</v>
      </c>
      <c r="F4" s="186">
        <f t="shared" si="0"/>
        <v>1.38</v>
      </c>
      <c r="G4" s="186">
        <f t="shared" si="0"/>
        <v>1.6675000000000002</v>
      </c>
      <c r="H4" s="186">
        <f t="shared" si="0"/>
        <v>2.0212500000000002</v>
      </c>
      <c r="I4" s="186">
        <f t="shared" si="0"/>
        <v>2.415</v>
      </c>
      <c r="J4" s="186">
        <f t="shared" si="0"/>
        <v>2.9325000000000001</v>
      </c>
      <c r="K4" s="186">
        <f t="shared" si="0"/>
        <v>3.45</v>
      </c>
      <c r="L4" s="187" t="s">
        <v>284</v>
      </c>
      <c r="M4" s="178"/>
      <c r="N4" s="178"/>
      <c r="O4" s="178"/>
      <c r="P4" s="178"/>
      <c r="Q4" s="178"/>
      <c r="R4" s="178"/>
      <c r="S4" s="178"/>
      <c r="T4" s="178"/>
      <c r="U4" s="178"/>
      <c r="V4" s="178"/>
      <c r="W4" s="178"/>
      <c r="X4" s="178"/>
      <c r="Y4" s="178"/>
      <c r="Z4" s="178"/>
      <c r="AA4" s="178"/>
      <c r="AB4" s="178"/>
      <c r="AC4" s="178"/>
      <c r="AD4" s="178"/>
      <c r="AE4" s="178"/>
      <c r="AF4" s="178"/>
    </row>
    <row r="5" spans="1:32" ht="47.25" x14ac:dyDescent="0.25">
      <c r="A5" s="182">
        <v>2</v>
      </c>
      <c r="B5" s="184" t="s">
        <v>285</v>
      </c>
      <c r="C5" s="185"/>
      <c r="D5" s="184"/>
      <c r="E5" s="188">
        <v>4420000</v>
      </c>
      <c r="F5" s="188">
        <v>4420000</v>
      </c>
      <c r="G5" s="188">
        <v>4420000</v>
      </c>
      <c r="H5" s="188">
        <v>4420000</v>
      </c>
      <c r="I5" s="188">
        <v>4420000</v>
      </c>
      <c r="J5" s="188">
        <v>4420000</v>
      </c>
      <c r="K5" s="188">
        <v>4420000</v>
      </c>
      <c r="L5" s="187" t="s">
        <v>286</v>
      </c>
      <c r="M5" s="178"/>
      <c r="N5" s="178"/>
      <c r="O5" s="178"/>
      <c r="P5" s="178"/>
      <c r="Q5" s="178"/>
      <c r="R5" s="178"/>
      <c r="S5" s="178"/>
      <c r="T5" s="178"/>
      <c r="U5" s="178"/>
      <c r="V5" s="178"/>
      <c r="W5" s="178"/>
      <c r="X5" s="178"/>
      <c r="Y5" s="178"/>
      <c r="Z5" s="178"/>
      <c r="AA5" s="178"/>
      <c r="AB5" s="178"/>
      <c r="AC5" s="178"/>
      <c r="AD5" s="178"/>
      <c r="AE5" s="178"/>
      <c r="AF5" s="178"/>
    </row>
    <row r="6" spans="1:32" ht="31.5" x14ac:dyDescent="0.25">
      <c r="A6" s="182">
        <v>3</v>
      </c>
      <c r="B6" s="184" t="s">
        <v>287</v>
      </c>
      <c r="C6" s="185"/>
      <c r="D6" s="184" t="s">
        <v>288</v>
      </c>
      <c r="E6" s="188">
        <f>E4*E5</f>
        <v>5083000</v>
      </c>
      <c r="F6" s="188">
        <f t="shared" ref="F6:K6" si="1">F5*F4</f>
        <v>6099599.9999999991</v>
      </c>
      <c r="G6" s="188">
        <f>G5*G4</f>
        <v>7370350.0000000009</v>
      </c>
      <c r="H6" s="188">
        <f t="shared" si="1"/>
        <v>8933925.0000000019</v>
      </c>
      <c r="I6" s="188">
        <f t="shared" si="1"/>
        <v>10674300</v>
      </c>
      <c r="J6" s="188">
        <f t="shared" si="1"/>
        <v>12961650</v>
      </c>
      <c r="K6" s="188">
        <f t="shared" si="1"/>
        <v>15249000</v>
      </c>
      <c r="L6" s="187"/>
      <c r="M6" s="178"/>
      <c r="N6" s="178"/>
      <c r="O6" s="178"/>
      <c r="P6" s="178"/>
      <c r="Q6" s="178"/>
      <c r="R6" s="178"/>
      <c r="S6" s="178"/>
      <c r="T6" s="178"/>
      <c r="U6" s="178"/>
      <c r="V6" s="178"/>
      <c r="W6" s="178"/>
      <c r="X6" s="178"/>
      <c r="Y6" s="178"/>
      <c r="Z6" s="178"/>
      <c r="AA6" s="178"/>
      <c r="AB6" s="178"/>
      <c r="AC6" s="178"/>
      <c r="AD6" s="178"/>
      <c r="AE6" s="178"/>
      <c r="AF6" s="178"/>
    </row>
    <row r="7" spans="1:32" ht="15.75" x14ac:dyDescent="0.25">
      <c r="A7" s="182">
        <v>4</v>
      </c>
      <c r="B7" s="184" t="s">
        <v>289</v>
      </c>
      <c r="C7" s="189">
        <v>0.12</v>
      </c>
      <c r="D7" s="184" t="s">
        <v>290</v>
      </c>
      <c r="E7" s="190">
        <f t="shared" ref="E7:K7" si="2">E6*12%</f>
        <v>609960</v>
      </c>
      <c r="F7" s="190">
        <f t="shared" si="2"/>
        <v>731951.99999999988</v>
      </c>
      <c r="G7" s="190">
        <f t="shared" si="2"/>
        <v>884442.00000000012</v>
      </c>
      <c r="H7" s="190">
        <f t="shared" si="2"/>
        <v>1072071.0000000002</v>
      </c>
      <c r="I7" s="190">
        <f t="shared" si="2"/>
        <v>1280916</v>
      </c>
      <c r="J7" s="190">
        <f t="shared" si="2"/>
        <v>1555398</v>
      </c>
      <c r="K7" s="190">
        <f t="shared" si="2"/>
        <v>1829880</v>
      </c>
      <c r="L7" s="309" t="s">
        <v>291</v>
      </c>
      <c r="M7" s="178"/>
      <c r="N7" s="178"/>
      <c r="O7" s="178"/>
      <c r="P7" s="178"/>
      <c r="Q7" s="178"/>
      <c r="R7" s="178"/>
      <c r="S7" s="178"/>
      <c r="T7" s="178"/>
      <c r="U7" s="178"/>
      <c r="V7" s="178"/>
      <c r="W7" s="178"/>
      <c r="X7" s="178"/>
      <c r="Y7" s="178"/>
      <c r="Z7" s="178"/>
      <c r="AA7" s="178"/>
      <c r="AB7" s="178"/>
      <c r="AC7" s="178"/>
      <c r="AD7" s="178"/>
      <c r="AE7" s="178"/>
      <c r="AF7" s="178"/>
    </row>
    <row r="8" spans="1:32" ht="15.75" x14ac:dyDescent="0.25">
      <c r="A8" s="182">
        <v>5</v>
      </c>
      <c r="B8" s="184" t="s">
        <v>292</v>
      </c>
      <c r="C8" s="189">
        <v>0.04</v>
      </c>
      <c r="D8" s="184" t="s">
        <v>290</v>
      </c>
      <c r="E8" s="190">
        <f t="shared" ref="E8:K8" si="3">E6*4%</f>
        <v>203320</v>
      </c>
      <c r="F8" s="190">
        <f t="shared" si="3"/>
        <v>243983.99999999997</v>
      </c>
      <c r="G8" s="190">
        <f t="shared" si="3"/>
        <v>294814.00000000006</v>
      </c>
      <c r="H8" s="190">
        <f t="shared" si="3"/>
        <v>357357.00000000006</v>
      </c>
      <c r="I8" s="190">
        <f t="shared" si="3"/>
        <v>426972</v>
      </c>
      <c r="J8" s="190">
        <f t="shared" si="3"/>
        <v>518466</v>
      </c>
      <c r="K8" s="190">
        <f t="shared" si="3"/>
        <v>609960</v>
      </c>
      <c r="L8" s="310"/>
      <c r="M8" s="178"/>
      <c r="N8" s="178"/>
      <c r="O8" s="178"/>
      <c r="P8" s="178"/>
      <c r="Q8" s="178"/>
      <c r="R8" s="178"/>
      <c r="S8" s="178"/>
      <c r="T8" s="178"/>
      <c r="U8" s="178"/>
      <c r="V8" s="178"/>
      <c r="W8" s="178"/>
      <c r="X8" s="178"/>
      <c r="Y8" s="178"/>
      <c r="Z8" s="178"/>
      <c r="AA8" s="178"/>
      <c r="AB8" s="178"/>
      <c r="AC8" s="178"/>
      <c r="AD8" s="178"/>
      <c r="AE8" s="178"/>
      <c r="AF8" s="178"/>
    </row>
    <row r="9" spans="1:32" ht="15.75" x14ac:dyDescent="0.25">
      <c r="A9" s="182">
        <v>6</v>
      </c>
      <c r="B9" s="191" t="s">
        <v>293</v>
      </c>
      <c r="C9" s="183"/>
      <c r="D9" s="191"/>
      <c r="E9" s="192">
        <f t="shared" ref="E9:K9" si="4">SUM(E6:E8)</f>
        <v>5896280</v>
      </c>
      <c r="F9" s="192">
        <f t="shared" si="4"/>
        <v>7075535.9999999991</v>
      </c>
      <c r="G9" s="192">
        <f>SUM(G6:G8)</f>
        <v>8549606.0000000019</v>
      </c>
      <c r="H9" s="192">
        <f t="shared" si="4"/>
        <v>10363353.000000002</v>
      </c>
      <c r="I9" s="192">
        <f t="shared" si="4"/>
        <v>12382188</v>
      </c>
      <c r="J9" s="192">
        <f t="shared" si="4"/>
        <v>15035514</v>
      </c>
      <c r="K9" s="192">
        <f t="shared" si="4"/>
        <v>17688840</v>
      </c>
      <c r="L9" s="185"/>
      <c r="M9" s="178"/>
      <c r="N9" s="178"/>
      <c r="O9" s="178"/>
      <c r="P9" s="178"/>
      <c r="Q9" s="178"/>
      <c r="R9" s="178"/>
      <c r="S9" s="178"/>
      <c r="T9" s="178"/>
      <c r="U9" s="178"/>
      <c r="V9" s="178"/>
      <c r="W9" s="178"/>
      <c r="X9" s="178"/>
      <c r="Y9" s="178"/>
      <c r="Z9" s="178"/>
      <c r="AA9" s="178"/>
      <c r="AB9" s="178"/>
      <c r="AC9" s="178"/>
      <c r="AD9" s="178"/>
      <c r="AE9" s="178"/>
      <c r="AF9" s="178"/>
    </row>
    <row r="10" spans="1:32" ht="31.5" x14ac:dyDescent="0.25">
      <c r="A10" s="212">
        <v>7</v>
      </c>
      <c r="B10" s="213" t="s">
        <v>192</v>
      </c>
      <c r="C10" s="214"/>
      <c r="D10" s="213"/>
      <c r="E10" s="215">
        <f t="shared" ref="E10:K10" si="5">E9/22</f>
        <v>268012.72727272729</v>
      </c>
      <c r="F10" s="215">
        <f t="shared" si="5"/>
        <v>321615.27272727271</v>
      </c>
      <c r="G10" s="215">
        <f t="shared" si="5"/>
        <v>388618.45454545465</v>
      </c>
      <c r="H10" s="215">
        <f t="shared" si="5"/>
        <v>471061.50000000006</v>
      </c>
      <c r="I10" s="215">
        <f t="shared" si="5"/>
        <v>562826.72727272729</v>
      </c>
      <c r="J10" s="215">
        <f t="shared" si="5"/>
        <v>683432.45454545459</v>
      </c>
      <c r="K10" s="215">
        <f t="shared" si="5"/>
        <v>804038.18181818177</v>
      </c>
      <c r="L10" s="216"/>
      <c r="M10" s="178"/>
      <c r="N10" s="178"/>
      <c r="O10" s="178"/>
      <c r="P10" s="178"/>
      <c r="Q10" s="178"/>
      <c r="R10" s="178"/>
      <c r="S10" s="178"/>
      <c r="T10" s="178"/>
      <c r="U10" s="178"/>
      <c r="V10" s="178"/>
      <c r="W10" s="178"/>
      <c r="X10" s="178"/>
      <c r="Y10" s="178"/>
      <c r="Z10" s="178"/>
      <c r="AA10" s="178"/>
      <c r="AB10" s="178"/>
      <c r="AC10" s="178"/>
      <c r="AD10" s="178"/>
      <c r="AE10" s="178"/>
      <c r="AF10" s="178"/>
    </row>
    <row r="11" spans="1:32" ht="31.5" x14ac:dyDescent="0.25">
      <c r="A11" s="217">
        <v>8</v>
      </c>
      <c r="B11" s="218" t="s">
        <v>319</v>
      </c>
      <c r="C11" s="219"/>
      <c r="D11" s="218"/>
      <c r="E11" s="220">
        <f>E10/8</f>
        <v>33501.590909090912</v>
      </c>
      <c r="F11" s="220">
        <f t="shared" ref="F11:K11" si="6">F10/8</f>
        <v>40201.909090909088</v>
      </c>
      <c r="G11" s="220">
        <f t="shared" si="6"/>
        <v>48577.306818181831</v>
      </c>
      <c r="H11" s="220">
        <f t="shared" si="6"/>
        <v>58882.687500000007</v>
      </c>
      <c r="I11" s="220">
        <f t="shared" si="6"/>
        <v>70353.340909090912</v>
      </c>
      <c r="J11" s="220">
        <f t="shared" si="6"/>
        <v>85429.056818181823</v>
      </c>
      <c r="K11" s="220">
        <f t="shared" si="6"/>
        <v>100504.77272727272</v>
      </c>
      <c r="L11" s="221"/>
      <c r="M11" s="178"/>
      <c r="N11" s="178"/>
      <c r="O11" s="178"/>
      <c r="P11" s="178"/>
      <c r="Q11" s="178"/>
      <c r="R11" s="178"/>
      <c r="S11" s="178"/>
      <c r="T11" s="178"/>
      <c r="U11" s="178"/>
      <c r="V11" s="178"/>
      <c r="W11" s="178"/>
      <c r="X11" s="178"/>
      <c r="Y11" s="178"/>
      <c r="Z11" s="178"/>
      <c r="AA11" s="178"/>
      <c r="AB11" s="178"/>
      <c r="AC11" s="178"/>
      <c r="AD11" s="178"/>
      <c r="AE11" s="178"/>
      <c r="AF11" s="178"/>
    </row>
    <row r="12" spans="1:32" ht="15.75" x14ac:dyDescent="0.25">
      <c r="A12" s="178"/>
      <c r="B12" s="193"/>
      <c r="C12" s="194"/>
      <c r="D12" s="178"/>
      <c r="E12" s="195"/>
      <c r="F12" s="178"/>
      <c r="G12" s="178"/>
      <c r="H12" s="178"/>
      <c r="I12" s="178"/>
      <c r="J12" s="178"/>
      <c r="K12" s="178"/>
      <c r="L12" s="178"/>
      <c r="M12" s="196"/>
      <c r="N12" s="197"/>
      <c r="O12" s="178"/>
      <c r="P12" s="178"/>
      <c r="Q12" s="178"/>
      <c r="R12" s="178"/>
      <c r="S12" s="178"/>
      <c r="T12" s="178"/>
      <c r="U12" s="178"/>
      <c r="V12" s="178"/>
      <c r="W12" s="178"/>
      <c r="X12" s="178"/>
      <c r="Y12" s="178"/>
      <c r="Z12" s="178"/>
      <c r="AA12" s="178"/>
      <c r="AB12" s="178"/>
      <c r="AC12" s="178"/>
      <c r="AD12" s="178"/>
      <c r="AE12" s="178"/>
      <c r="AF12" s="178"/>
    </row>
    <row r="13" spans="1:32" ht="15.75" x14ac:dyDescent="0.25">
      <c r="A13" s="304" t="s">
        <v>294</v>
      </c>
      <c r="B13" s="305"/>
      <c r="C13" s="305"/>
      <c r="D13" s="305"/>
      <c r="E13" s="305"/>
      <c r="F13" s="305"/>
      <c r="G13" s="305"/>
      <c r="H13" s="305"/>
      <c r="I13" s="305"/>
      <c r="J13" s="305"/>
      <c r="K13" s="305"/>
      <c r="L13" s="178"/>
      <c r="M13" s="196"/>
      <c r="N13" s="197"/>
      <c r="O13" s="178"/>
      <c r="P13" s="178"/>
      <c r="Q13" s="178"/>
      <c r="R13" s="178"/>
      <c r="S13" s="178"/>
      <c r="T13" s="178"/>
      <c r="U13" s="178"/>
      <c r="V13" s="178"/>
      <c r="W13" s="178"/>
      <c r="X13" s="178"/>
      <c r="Y13" s="178"/>
      <c r="Z13" s="178"/>
      <c r="AA13" s="178"/>
      <c r="AB13" s="178"/>
      <c r="AC13" s="178"/>
      <c r="AD13" s="178"/>
      <c r="AE13" s="178"/>
      <c r="AF13" s="178"/>
    </row>
    <row r="14" spans="1:32" ht="15.75" x14ac:dyDescent="0.25">
      <c r="A14" s="178"/>
      <c r="B14" s="193"/>
      <c r="C14" s="194"/>
      <c r="D14" s="178"/>
      <c r="E14" s="198"/>
      <c r="F14" s="199"/>
      <c r="G14" s="199"/>
      <c r="H14" s="199"/>
      <c r="I14" s="199"/>
      <c r="J14" s="199"/>
      <c r="K14" s="199"/>
      <c r="L14" s="199"/>
      <c r="M14" s="178"/>
      <c r="N14" s="178"/>
      <c r="O14" s="178"/>
      <c r="P14" s="178"/>
      <c r="Q14" s="178"/>
      <c r="R14" s="178"/>
      <c r="S14" s="178"/>
      <c r="T14" s="178"/>
      <c r="U14" s="178"/>
      <c r="V14" s="178"/>
      <c r="W14" s="178"/>
      <c r="X14" s="178"/>
      <c r="Y14" s="178"/>
      <c r="Z14" s="178"/>
      <c r="AA14" s="178"/>
      <c r="AB14" s="178"/>
      <c r="AC14" s="178"/>
      <c r="AD14" s="178"/>
      <c r="AE14" s="178"/>
      <c r="AF14" s="178"/>
    </row>
    <row r="15" spans="1:32" ht="15.75" x14ac:dyDescent="0.25">
      <c r="A15" s="200" t="s">
        <v>33</v>
      </c>
      <c r="B15" s="301" t="s">
        <v>295</v>
      </c>
      <c r="C15" s="302"/>
      <c r="D15" s="303"/>
      <c r="E15" s="201" t="s">
        <v>296</v>
      </c>
      <c r="F15" s="201" t="s">
        <v>297</v>
      </c>
      <c r="G15" s="201" t="s">
        <v>298</v>
      </c>
      <c r="H15" s="201" t="s">
        <v>299</v>
      </c>
      <c r="I15" s="201" t="s">
        <v>300</v>
      </c>
      <c r="J15" s="201" t="s">
        <v>301</v>
      </c>
      <c r="K15" s="201" t="s">
        <v>302</v>
      </c>
      <c r="L15" s="178"/>
      <c r="M15" s="178"/>
      <c r="N15" s="178"/>
      <c r="O15" s="178"/>
      <c r="P15" s="178"/>
      <c r="Q15" s="178"/>
      <c r="R15" s="178"/>
      <c r="S15" s="178"/>
      <c r="T15" s="178"/>
      <c r="U15" s="178"/>
      <c r="V15" s="178"/>
      <c r="W15" s="178"/>
      <c r="X15" s="178"/>
      <c r="Y15" s="178"/>
      <c r="Z15" s="178"/>
      <c r="AA15" s="178"/>
      <c r="AB15" s="178"/>
      <c r="AC15" s="178"/>
      <c r="AD15" s="178"/>
      <c r="AE15" s="178"/>
      <c r="AF15" s="178"/>
    </row>
    <row r="16" spans="1:32" ht="15.75" x14ac:dyDescent="0.25">
      <c r="A16" s="185">
        <v>1</v>
      </c>
      <c r="B16" s="312" t="s">
        <v>303</v>
      </c>
      <c r="C16" s="302"/>
      <c r="D16" s="303"/>
      <c r="E16" s="202">
        <v>12</v>
      </c>
      <c r="F16" s="203">
        <v>13</v>
      </c>
      <c r="G16" s="203">
        <v>14</v>
      </c>
      <c r="H16" s="203">
        <v>15</v>
      </c>
      <c r="I16" s="203">
        <v>16</v>
      </c>
      <c r="J16" s="203">
        <v>17</v>
      </c>
      <c r="K16" s="203">
        <v>18</v>
      </c>
      <c r="L16" s="178"/>
      <c r="M16" s="178"/>
      <c r="N16" s="178"/>
      <c r="O16" s="178"/>
      <c r="P16" s="178"/>
      <c r="Q16" s="178"/>
      <c r="R16" s="178"/>
      <c r="S16" s="178"/>
      <c r="T16" s="178"/>
      <c r="U16" s="178"/>
      <c r="V16" s="178"/>
      <c r="W16" s="178"/>
      <c r="X16" s="178"/>
      <c r="Y16" s="178"/>
      <c r="Z16" s="178"/>
      <c r="AA16" s="178"/>
      <c r="AB16" s="178"/>
      <c r="AC16" s="178"/>
      <c r="AD16" s="178"/>
      <c r="AE16" s="178"/>
      <c r="AF16" s="178"/>
    </row>
    <row r="17" spans="1:32" ht="15.75" x14ac:dyDescent="0.25">
      <c r="A17" s="185">
        <v>2</v>
      </c>
      <c r="B17" s="312" t="s">
        <v>304</v>
      </c>
      <c r="C17" s="302"/>
      <c r="D17" s="303"/>
      <c r="E17" s="202">
        <v>2</v>
      </c>
      <c r="F17" s="203">
        <v>3</v>
      </c>
      <c r="G17" s="203">
        <v>4</v>
      </c>
      <c r="H17" s="203">
        <v>5</v>
      </c>
      <c r="I17" s="203">
        <v>7</v>
      </c>
      <c r="J17" s="203">
        <v>8</v>
      </c>
      <c r="K17" s="203">
        <v>10</v>
      </c>
      <c r="L17" s="178"/>
      <c r="M17" s="178"/>
      <c r="N17" s="178"/>
      <c r="O17" s="178"/>
      <c r="P17" s="178"/>
      <c r="Q17" s="178"/>
      <c r="R17" s="178"/>
      <c r="S17" s="178"/>
      <c r="T17" s="178"/>
      <c r="U17" s="178"/>
      <c r="V17" s="178"/>
      <c r="W17" s="178"/>
      <c r="X17" s="178"/>
      <c r="Y17" s="178"/>
      <c r="Z17" s="178"/>
      <c r="AA17" s="178"/>
      <c r="AB17" s="178"/>
      <c r="AC17" s="178"/>
      <c r="AD17" s="178"/>
      <c r="AE17" s="178"/>
      <c r="AF17" s="178"/>
    </row>
    <row r="18" spans="1:32" ht="15.75" x14ac:dyDescent="0.25">
      <c r="A18" s="185">
        <v>3</v>
      </c>
      <c r="B18" s="312" t="s">
        <v>305</v>
      </c>
      <c r="C18" s="302"/>
      <c r="D18" s="303"/>
      <c r="E18" s="203">
        <v>1</v>
      </c>
      <c r="F18" s="203">
        <v>2</v>
      </c>
      <c r="G18" s="203">
        <v>3</v>
      </c>
      <c r="H18" s="203">
        <v>4</v>
      </c>
      <c r="I18" s="203">
        <v>6</v>
      </c>
      <c r="J18" s="203">
        <v>8</v>
      </c>
      <c r="K18" s="203">
        <v>10</v>
      </c>
      <c r="L18" s="204"/>
      <c r="M18" s="204"/>
      <c r="N18" s="204"/>
      <c r="O18" s="204"/>
      <c r="P18" s="204"/>
      <c r="Q18" s="204"/>
      <c r="R18" s="204"/>
      <c r="S18" s="204"/>
      <c r="T18" s="204"/>
      <c r="U18" s="204"/>
      <c r="V18" s="204"/>
      <c r="W18" s="204"/>
      <c r="X18" s="204"/>
      <c r="Y18" s="204"/>
      <c r="Z18" s="204"/>
      <c r="AA18" s="204"/>
      <c r="AB18" s="204"/>
      <c r="AC18" s="204"/>
      <c r="AD18" s="204"/>
      <c r="AE18" s="204"/>
      <c r="AF18" s="204"/>
    </row>
    <row r="19" spans="1:32" ht="15.75" x14ac:dyDescent="0.25">
      <c r="A19" s="185">
        <v>4</v>
      </c>
      <c r="B19" s="312" t="s">
        <v>306</v>
      </c>
      <c r="C19" s="302"/>
      <c r="D19" s="303"/>
      <c r="E19" s="202">
        <v>0</v>
      </c>
      <c r="F19" s="203">
        <v>0</v>
      </c>
      <c r="G19" s="203">
        <v>1</v>
      </c>
      <c r="H19" s="203">
        <v>2</v>
      </c>
      <c r="I19" s="203">
        <v>3</v>
      </c>
      <c r="J19" s="203">
        <v>5</v>
      </c>
      <c r="K19" s="203">
        <v>7</v>
      </c>
      <c r="L19" s="204"/>
      <c r="M19" s="204"/>
      <c r="N19" s="204"/>
      <c r="O19" s="204"/>
      <c r="P19" s="204"/>
      <c r="Q19" s="204"/>
      <c r="R19" s="204"/>
      <c r="S19" s="204"/>
      <c r="T19" s="204"/>
      <c r="U19" s="204"/>
      <c r="V19" s="204"/>
      <c r="W19" s="204"/>
      <c r="X19" s="204"/>
      <c r="Y19" s="204"/>
      <c r="Z19" s="204"/>
      <c r="AA19" s="204"/>
      <c r="AB19" s="204"/>
      <c r="AC19" s="204"/>
      <c r="AD19" s="204"/>
      <c r="AE19" s="204"/>
      <c r="AF19" s="204"/>
    </row>
    <row r="20" spans="1:32" ht="15.75" x14ac:dyDescent="0.25">
      <c r="A20" s="185">
        <v>5</v>
      </c>
      <c r="B20" s="312" t="s">
        <v>307</v>
      </c>
      <c r="C20" s="302"/>
      <c r="D20" s="303"/>
      <c r="E20" s="203">
        <f t="shared" ref="E20:K20" si="7">SUM(E16:E19)</f>
        <v>15</v>
      </c>
      <c r="F20" s="203">
        <f t="shared" si="7"/>
        <v>18</v>
      </c>
      <c r="G20" s="203">
        <f t="shared" si="7"/>
        <v>22</v>
      </c>
      <c r="H20" s="203">
        <f t="shared" si="7"/>
        <v>26</v>
      </c>
      <c r="I20" s="203">
        <f t="shared" si="7"/>
        <v>32</v>
      </c>
      <c r="J20" s="203">
        <f t="shared" si="7"/>
        <v>38</v>
      </c>
      <c r="K20" s="203">
        <f t="shared" si="7"/>
        <v>45</v>
      </c>
      <c r="L20" s="205"/>
      <c r="M20" s="204"/>
      <c r="N20" s="204"/>
      <c r="O20" s="204"/>
      <c r="P20" s="204"/>
      <c r="Q20" s="204"/>
      <c r="R20" s="204"/>
      <c r="S20" s="204"/>
      <c r="T20" s="204"/>
      <c r="U20" s="204"/>
      <c r="V20" s="204"/>
      <c r="W20" s="204"/>
      <c r="X20" s="204"/>
      <c r="Y20" s="204"/>
      <c r="Z20" s="204"/>
      <c r="AA20" s="204"/>
      <c r="AB20" s="204"/>
      <c r="AC20" s="204"/>
      <c r="AD20" s="204"/>
      <c r="AE20" s="204"/>
      <c r="AF20" s="204"/>
    </row>
    <row r="21" spans="1:32" ht="15.75" x14ac:dyDescent="0.25">
      <c r="A21" s="185">
        <v>6</v>
      </c>
      <c r="B21" s="313" t="s">
        <v>308</v>
      </c>
      <c r="C21" s="302"/>
      <c r="D21" s="303"/>
      <c r="E21" s="206">
        <f t="shared" ref="E21:F21" si="8">E20/15</f>
        <v>1</v>
      </c>
      <c r="F21" s="206">
        <f t="shared" si="8"/>
        <v>1.2</v>
      </c>
      <c r="G21" s="206">
        <f t="shared" ref="G21:H21" si="9">MROUND(G20/15,0.05)</f>
        <v>1.4500000000000002</v>
      </c>
      <c r="H21" s="206">
        <f t="shared" si="9"/>
        <v>1.75</v>
      </c>
      <c r="I21" s="206">
        <f>ROUND(I20/15,1)</f>
        <v>2.1</v>
      </c>
      <c r="J21" s="206">
        <f>MROUND(J20/15,0.05)</f>
        <v>2.5500000000000003</v>
      </c>
      <c r="K21" s="206">
        <f>K20/15</f>
        <v>3</v>
      </c>
      <c r="L21" s="204"/>
      <c r="M21" s="204"/>
      <c r="N21" s="204"/>
      <c r="O21" s="204"/>
      <c r="P21" s="204"/>
      <c r="Q21" s="204"/>
      <c r="R21" s="204"/>
      <c r="S21" s="204"/>
      <c r="T21" s="204"/>
      <c r="U21" s="204"/>
      <c r="V21" s="204"/>
      <c r="W21" s="204"/>
      <c r="X21" s="204"/>
      <c r="Y21" s="204"/>
      <c r="Z21" s="204"/>
      <c r="AA21" s="204"/>
      <c r="AB21" s="204"/>
      <c r="AC21" s="204"/>
      <c r="AD21" s="204"/>
      <c r="AE21" s="204"/>
      <c r="AF21" s="204"/>
    </row>
    <row r="22" spans="1:32" ht="15.75" x14ac:dyDescent="0.25">
      <c r="A22" s="185">
        <v>7</v>
      </c>
      <c r="B22" s="313" t="s">
        <v>309</v>
      </c>
      <c r="C22" s="302"/>
      <c r="D22" s="303"/>
      <c r="E22" s="206">
        <f t="shared" ref="E22:G22" si="10">E21+E21*15%</f>
        <v>1.1499999999999999</v>
      </c>
      <c r="F22" s="206">
        <f t="shared" si="10"/>
        <v>1.38</v>
      </c>
      <c r="G22" s="206">
        <f t="shared" si="10"/>
        <v>1.6675000000000002</v>
      </c>
      <c r="H22" s="206">
        <f>H21*15.5%+H21</f>
        <v>2.0212500000000002</v>
      </c>
      <c r="I22" s="206">
        <f t="shared" ref="I22:K22" si="11">I21+I21*15%</f>
        <v>2.415</v>
      </c>
      <c r="J22" s="206">
        <f t="shared" si="11"/>
        <v>2.9325000000000001</v>
      </c>
      <c r="K22" s="206">
        <f t="shared" si="11"/>
        <v>3.45</v>
      </c>
      <c r="L22" s="204"/>
      <c r="M22" s="204"/>
      <c r="N22" s="204"/>
      <c r="O22" s="204"/>
      <c r="P22" s="204"/>
      <c r="Q22" s="204"/>
      <c r="R22" s="204"/>
      <c r="S22" s="204"/>
      <c r="T22" s="204"/>
      <c r="U22" s="204"/>
      <c r="V22" s="204"/>
      <c r="W22" s="204"/>
      <c r="X22" s="204"/>
      <c r="Y22" s="204"/>
      <c r="Z22" s="204"/>
      <c r="AA22" s="204"/>
      <c r="AB22" s="204"/>
      <c r="AC22" s="204"/>
      <c r="AD22" s="204"/>
      <c r="AE22" s="204"/>
      <c r="AF22" s="204"/>
    </row>
    <row r="23" spans="1:32" ht="15.75" x14ac:dyDescent="0.25">
      <c r="A23" s="204"/>
      <c r="B23" s="207"/>
      <c r="C23" s="208"/>
      <c r="D23" s="204"/>
      <c r="E23" s="204"/>
      <c r="F23" s="204"/>
      <c r="G23" s="204"/>
      <c r="H23" s="204"/>
      <c r="I23" s="204"/>
      <c r="J23" s="204"/>
      <c r="K23" s="204"/>
      <c r="L23" s="205"/>
      <c r="M23" s="204"/>
      <c r="N23" s="204"/>
      <c r="O23" s="204"/>
      <c r="P23" s="204"/>
      <c r="Q23" s="204"/>
      <c r="R23" s="204"/>
      <c r="S23" s="204"/>
      <c r="T23" s="204"/>
      <c r="U23" s="204"/>
      <c r="V23" s="204"/>
      <c r="W23" s="204"/>
      <c r="X23" s="204"/>
      <c r="Y23" s="204"/>
      <c r="Z23" s="204"/>
      <c r="AA23" s="204"/>
      <c r="AB23" s="204"/>
      <c r="AC23" s="204"/>
      <c r="AD23" s="204"/>
      <c r="AE23" s="204"/>
      <c r="AF23" s="204"/>
    </row>
    <row r="24" spans="1:32" ht="15.75" x14ac:dyDescent="0.25">
      <c r="A24" s="314" t="s">
        <v>310</v>
      </c>
      <c r="B24" s="305"/>
      <c r="C24" s="305"/>
      <c r="D24" s="305"/>
      <c r="E24" s="305"/>
      <c r="F24" s="305"/>
      <c r="G24" s="305"/>
      <c r="H24" s="305"/>
      <c r="I24" s="305"/>
      <c r="J24" s="204"/>
      <c r="K24" s="204"/>
      <c r="L24" s="204"/>
      <c r="M24" s="205"/>
      <c r="N24" s="209"/>
      <c r="O24" s="209"/>
      <c r="P24" s="204"/>
      <c r="Q24" s="204"/>
      <c r="R24" s="204"/>
      <c r="S24" s="204"/>
      <c r="T24" s="204"/>
      <c r="U24" s="204"/>
      <c r="V24" s="204"/>
      <c r="W24" s="204"/>
      <c r="X24" s="204"/>
      <c r="Y24" s="204"/>
      <c r="Z24" s="204"/>
      <c r="AA24" s="204"/>
      <c r="AB24" s="204"/>
      <c r="AC24" s="204"/>
      <c r="AD24" s="204"/>
      <c r="AE24" s="204"/>
      <c r="AF24" s="204"/>
    </row>
    <row r="25" spans="1:32" ht="15.75" x14ac:dyDescent="0.25">
      <c r="A25" s="204"/>
      <c r="B25" s="207"/>
      <c r="C25" s="208"/>
      <c r="D25" s="204"/>
      <c r="E25" s="204"/>
      <c r="F25" s="204"/>
      <c r="G25" s="204"/>
      <c r="H25" s="204"/>
      <c r="I25" s="204"/>
      <c r="J25" s="204"/>
      <c r="K25" s="204"/>
      <c r="L25" s="204"/>
      <c r="M25" s="204"/>
      <c r="N25" s="204"/>
      <c r="O25" s="204"/>
      <c r="P25" s="204"/>
      <c r="Q25" s="204"/>
      <c r="R25" s="204"/>
      <c r="S25" s="204"/>
      <c r="T25" s="204"/>
      <c r="U25" s="204"/>
      <c r="V25" s="204"/>
      <c r="W25" s="204"/>
      <c r="X25" s="204"/>
      <c r="Y25" s="204"/>
      <c r="Z25" s="204"/>
      <c r="AA25" s="204"/>
      <c r="AB25" s="204"/>
      <c r="AC25" s="204"/>
      <c r="AD25" s="204"/>
      <c r="AE25" s="204"/>
      <c r="AF25" s="204"/>
    </row>
    <row r="26" spans="1:32" ht="15.75" x14ac:dyDescent="0.25">
      <c r="A26" s="210" t="s">
        <v>33</v>
      </c>
      <c r="B26" s="315" t="s">
        <v>295</v>
      </c>
      <c r="C26" s="302"/>
      <c r="D26" s="303"/>
      <c r="E26" s="316" t="s">
        <v>311</v>
      </c>
      <c r="F26" s="302"/>
      <c r="G26" s="303"/>
      <c r="H26" s="311" t="s">
        <v>312</v>
      </c>
      <c r="I26" s="303"/>
      <c r="J26" s="311" t="s">
        <v>313</v>
      </c>
      <c r="K26" s="303"/>
      <c r="L26" s="205"/>
      <c r="M26" s="204"/>
      <c r="N26" s="204"/>
      <c r="O26" s="204"/>
      <c r="P26" s="204"/>
      <c r="Q26" s="204"/>
      <c r="R26" s="204"/>
      <c r="S26" s="204"/>
      <c r="T26" s="204"/>
      <c r="U26" s="204"/>
      <c r="V26" s="204"/>
      <c r="W26" s="204"/>
      <c r="X26" s="204"/>
      <c r="Y26" s="204"/>
      <c r="Z26" s="204"/>
      <c r="AA26" s="204"/>
      <c r="AB26" s="204"/>
      <c r="AC26" s="204"/>
      <c r="AD26" s="204"/>
      <c r="AE26" s="204"/>
      <c r="AF26" s="204"/>
    </row>
    <row r="27" spans="1:32" ht="15.75" x14ac:dyDescent="0.25">
      <c r="A27" s="211">
        <v>1</v>
      </c>
      <c r="B27" s="317" t="s">
        <v>303</v>
      </c>
      <c r="C27" s="302"/>
      <c r="D27" s="303"/>
      <c r="E27" s="317" t="s">
        <v>314</v>
      </c>
      <c r="F27" s="302"/>
      <c r="G27" s="303"/>
      <c r="H27" s="318">
        <v>12</v>
      </c>
      <c r="I27" s="303"/>
      <c r="J27" s="318">
        <v>18</v>
      </c>
      <c r="K27" s="303"/>
      <c r="L27" s="204"/>
      <c r="M27" s="204"/>
      <c r="N27" s="204"/>
      <c r="O27" s="204"/>
      <c r="P27" s="204"/>
      <c r="Q27" s="204"/>
      <c r="R27" s="204"/>
      <c r="S27" s="204"/>
      <c r="T27" s="204"/>
      <c r="U27" s="204"/>
      <c r="V27" s="204"/>
      <c r="W27" s="204"/>
      <c r="X27" s="204"/>
      <c r="Y27" s="204"/>
      <c r="Z27" s="204"/>
      <c r="AA27" s="204"/>
      <c r="AB27" s="204"/>
      <c r="AC27" s="204"/>
      <c r="AD27" s="204"/>
      <c r="AE27" s="204"/>
      <c r="AF27" s="204"/>
    </row>
    <row r="28" spans="1:32" ht="15.75" x14ac:dyDescent="0.25">
      <c r="A28" s="211">
        <v>2</v>
      </c>
      <c r="B28" s="317" t="s">
        <v>304</v>
      </c>
      <c r="C28" s="302"/>
      <c r="D28" s="303"/>
      <c r="E28" s="317" t="s">
        <v>315</v>
      </c>
      <c r="F28" s="302"/>
      <c r="G28" s="303"/>
      <c r="H28" s="318">
        <v>2</v>
      </c>
      <c r="I28" s="303"/>
      <c r="J28" s="318">
        <v>10</v>
      </c>
      <c r="K28" s="303"/>
      <c r="L28" s="204"/>
      <c r="M28" s="204"/>
      <c r="N28" s="204"/>
      <c r="O28" s="204"/>
      <c r="P28" s="204"/>
      <c r="Q28" s="204"/>
      <c r="R28" s="204"/>
      <c r="S28" s="204"/>
      <c r="T28" s="204"/>
      <c r="U28" s="204"/>
      <c r="V28" s="204"/>
      <c r="W28" s="204"/>
      <c r="X28" s="204"/>
      <c r="Y28" s="204"/>
      <c r="Z28" s="204"/>
      <c r="AA28" s="204"/>
      <c r="AB28" s="204"/>
      <c r="AC28" s="204"/>
      <c r="AD28" s="204"/>
      <c r="AE28" s="204"/>
      <c r="AF28" s="204"/>
    </row>
    <row r="29" spans="1:32" ht="15.75" x14ac:dyDescent="0.25">
      <c r="A29" s="211">
        <v>3</v>
      </c>
      <c r="B29" s="317" t="s">
        <v>305</v>
      </c>
      <c r="C29" s="302"/>
      <c r="D29" s="303"/>
      <c r="E29" s="317" t="s">
        <v>316</v>
      </c>
      <c r="F29" s="302"/>
      <c r="G29" s="303"/>
      <c r="H29" s="319">
        <v>1</v>
      </c>
      <c r="I29" s="303"/>
      <c r="J29" s="319">
        <v>10</v>
      </c>
      <c r="K29" s="303"/>
      <c r="L29" s="204"/>
      <c r="M29" s="204"/>
      <c r="N29" s="204"/>
      <c r="O29" s="204"/>
      <c r="P29" s="204"/>
      <c r="Q29" s="204"/>
      <c r="R29" s="204"/>
      <c r="S29" s="204"/>
      <c r="T29" s="204"/>
      <c r="U29" s="204"/>
      <c r="V29" s="204"/>
      <c r="W29" s="204"/>
      <c r="X29" s="204"/>
      <c r="Y29" s="204"/>
      <c r="Z29" s="204"/>
      <c r="AA29" s="204"/>
      <c r="AB29" s="204"/>
      <c r="AC29" s="204"/>
      <c r="AD29" s="204"/>
      <c r="AE29" s="204"/>
      <c r="AF29" s="204"/>
    </row>
    <row r="30" spans="1:32" ht="15.75" x14ac:dyDescent="0.25">
      <c r="A30" s="211">
        <v>4</v>
      </c>
      <c r="B30" s="317" t="s">
        <v>306</v>
      </c>
      <c r="C30" s="302"/>
      <c r="D30" s="303"/>
      <c r="E30" s="317" t="s">
        <v>317</v>
      </c>
      <c r="F30" s="302"/>
      <c r="G30" s="303"/>
      <c r="H30" s="318">
        <v>0</v>
      </c>
      <c r="I30" s="303"/>
      <c r="J30" s="318">
        <v>7</v>
      </c>
      <c r="K30" s="303"/>
      <c r="L30" s="204"/>
      <c r="M30" s="204"/>
      <c r="N30" s="204"/>
      <c r="O30" s="204"/>
      <c r="P30" s="204"/>
      <c r="Q30" s="204"/>
      <c r="R30" s="204"/>
      <c r="S30" s="204"/>
      <c r="T30" s="204"/>
      <c r="U30" s="204"/>
      <c r="V30" s="204"/>
      <c r="W30" s="204"/>
      <c r="X30" s="204"/>
      <c r="Y30" s="204"/>
      <c r="Z30" s="204"/>
      <c r="AA30" s="204"/>
      <c r="AB30" s="204"/>
      <c r="AC30" s="204"/>
      <c r="AD30" s="204"/>
      <c r="AE30" s="204"/>
      <c r="AF30" s="204"/>
    </row>
    <row r="31" spans="1:32" ht="15.75" x14ac:dyDescent="0.25">
      <c r="A31" s="211"/>
      <c r="B31" s="315" t="s">
        <v>318</v>
      </c>
      <c r="C31" s="302"/>
      <c r="D31" s="303"/>
      <c r="E31" s="316"/>
      <c r="F31" s="302"/>
      <c r="G31" s="303"/>
      <c r="H31" s="316">
        <f>SUM(H27:I30)</f>
        <v>15</v>
      </c>
      <c r="I31" s="303"/>
      <c r="J31" s="316">
        <f>SUM(J27:K30)</f>
        <v>45</v>
      </c>
      <c r="K31" s="303"/>
      <c r="L31" s="204"/>
      <c r="M31" s="204"/>
      <c r="N31" s="204"/>
      <c r="O31" s="204"/>
      <c r="P31" s="204"/>
      <c r="Q31" s="204"/>
      <c r="R31" s="204"/>
      <c r="S31" s="204"/>
      <c r="T31" s="204"/>
      <c r="U31" s="204"/>
      <c r="V31" s="204"/>
      <c r="W31" s="204"/>
      <c r="X31" s="204"/>
      <c r="Y31" s="204"/>
      <c r="Z31" s="204"/>
      <c r="AA31" s="204"/>
      <c r="AB31" s="204"/>
      <c r="AC31" s="204"/>
      <c r="AD31" s="204"/>
      <c r="AE31" s="204"/>
      <c r="AF31" s="204"/>
    </row>
    <row r="32" spans="1:32" ht="15.75" x14ac:dyDescent="0.25"/>
    <row r="33" ht="15.75" x14ac:dyDescent="0.25"/>
    <row r="34" ht="15.75" x14ac:dyDescent="0.25"/>
    <row r="35" ht="15.75" x14ac:dyDescent="0.25"/>
    <row r="36" ht="15.75" x14ac:dyDescent="0.25"/>
    <row r="37" ht="15.75" x14ac:dyDescent="0.25"/>
    <row r="38" ht="15.75" x14ac:dyDescent="0.25"/>
    <row r="39" ht="15.75" x14ac:dyDescent="0.25"/>
    <row r="40" ht="15.75" x14ac:dyDescent="0.25"/>
    <row r="41" ht="15.75" x14ac:dyDescent="0.25"/>
    <row r="42" ht="15.75" x14ac:dyDescent="0.25"/>
    <row r="43" ht="15.75" x14ac:dyDescent="0.25"/>
    <row r="44" ht="15.75" x14ac:dyDescent="0.25"/>
    <row r="45" ht="15.75" x14ac:dyDescent="0.25"/>
    <row r="46" ht="15.75" x14ac:dyDescent="0.25"/>
    <row r="47" ht="15.75" x14ac:dyDescent="0.25"/>
    <row r="48" ht="15.75" x14ac:dyDescent="0.25"/>
    <row r="49" ht="15.75" x14ac:dyDescent="0.25"/>
    <row r="50" ht="15.75" x14ac:dyDescent="0.25"/>
    <row r="51" ht="15.75" x14ac:dyDescent="0.25"/>
    <row r="52" ht="15.75" x14ac:dyDescent="0.25"/>
    <row r="53" ht="15.75" x14ac:dyDescent="0.25"/>
    <row r="54" ht="15.75" x14ac:dyDescent="0.25"/>
    <row r="55" ht="15.75" x14ac:dyDescent="0.25"/>
    <row r="56" ht="15.75" x14ac:dyDescent="0.25"/>
    <row r="57" ht="15.75" x14ac:dyDescent="0.25"/>
    <row r="58" ht="15.75" x14ac:dyDescent="0.25"/>
    <row r="59" ht="15.75" x14ac:dyDescent="0.25"/>
    <row r="60" ht="15.75" x14ac:dyDescent="0.25"/>
    <row r="61" ht="15.75" x14ac:dyDescent="0.25"/>
    <row r="62" ht="15.75" x14ac:dyDescent="0.25"/>
    <row r="63" ht="15.75" x14ac:dyDescent="0.25"/>
    <row r="64" ht="15.75" x14ac:dyDescent="0.25"/>
    <row r="65" ht="15.75" x14ac:dyDescent="0.25"/>
    <row r="66" ht="15.75" x14ac:dyDescent="0.25"/>
    <row r="67" ht="15.75" x14ac:dyDescent="0.25"/>
    <row r="68" ht="15.75" x14ac:dyDescent="0.25"/>
    <row r="69" ht="15.75" x14ac:dyDescent="0.25"/>
    <row r="70" ht="15.75" x14ac:dyDescent="0.25"/>
    <row r="71" ht="15.75" x14ac:dyDescent="0.25"/>
    <row r="72" ht="15.75" x14ac:dyDescent="0.25"/>
    <row r="73" ht="15.75" x14ac:dyDescent="0.25"/>
    <row r="74" ht="15.75" x14ac:dyDescent="0.25"/>
    <row r="75" ht="15.75" x14ac:dyDescent="0.25"/>
    <row r="76" ht="15.75" x14ac:dyDescent="0.25"/>
    <row r="77" ht="15.75" x14ac:dyDescent="0.25"/>
    <row r="78" ht="15.75" x14ac:dyDescent="0.25"/>
    <row r="79" ht="15.75" x14ac:dyDescent="0.25"/>
    <row r="80" ht="15.75" x14ac:dyDescent="0.25"/>
    <row r="81" ht="15.75" x14ac:dyDescent="0.25"/>
    <row r="82" ht="15.75" x14ac:dyDescent="0.25"/>
    <row r="83" ht="15.75" x14ac:dyDescent="0.25"/>
    <row r="84" ht="15.75" x14ac:dyDescent="0.25"/>
    <row r="85" ht="15.75" x14ac:dyDescent="0.25"/>
    <row r="86" ht="15.75" x14ac:dyDescent="0.25"/>
    <row r="87" ht="15.75" x14ac:dyDescent="0.25"/>
    <row r="88" ht="15.75" x14ac:dyDescent="0.25"/>
    <row r="89" ht="15.75" x14ac:dyDescent="0.25"/>
    <row r="90" ht="15.75" x14ac:dyDescent="0.25"/>
    <row r="91" ht="15.75" x14ac:dyDescent="0.25"/>
    <row r="92" ht="15.75" x14ac:dyDescent="0.25"/>
    <row r="93" ht="15.75" x14ac:dyDescent="0.25"/>
    <row r="94" ht="15.75" x14ac:dyDescent="0.25"/>
    <row r="95" ht="15.75" x14ac:dyDescent="0.25"/>
    <row r="96" ht="15.75" x14ac:dyDescent="0.25"/>
    <row r="97" ht="15.75" x14ac:dyDescent="0.25"/>
    <row r="98" ht="15.75" x14ac:dyDescent="0.25"/>
    <row r="99" ht="15.75" x14ac:dyDescent="0.25"/>
    <row r="100" ht="15.75" x14ac:dyDescent="0.25"/>
    <row r="101" ht="15.75" x14ac:dyDescent="0.25"/>
  </sheetData>
  <mergeCells count="38">
    <mergeCell ref="B31:D31"/>
    <mergeCell ref="E31:G31"/>
    <mergeCell ref="H31:I31"/>
    <mergeCell ref="J31:K31"/>
    <mergeCell ref="B29:D29"/>
    <mergeCell ref="E29:G29"/>
    <mergeCell ref="H29:I29"/>
    <mergeCell ref="J29:K29"/>
    <mergeCell ref="B30:D30"/>
    <mergeCell ref="E30:G30"/>
    <mergeCell ref="H30:I30"/>
    <mergeCell ref="J30:K30"/>
    <mergeCell ref="B27:D27"/>
    <mergeCell ref="E27:G27"/>
    <mergeCell ref="H27:I27"/>
    <mergeCell ref="J27:K27"/>
    <mergeCell ref="B28:D28"/>
    <mergeCell ref="E28:G28"/>
    <mergeCell ref="H28:I28"/>
    <mergeCell ref="J28:K28"/>
    <mergeCell ref="J26:K26"/>
    <mergeCell ref="B16:D16"/>
    <mergeCell ref="B17:D17"/>
    <mergeCell ref="B18:D18"/>
    <mergeCell ref="B19:D19"/>
    <mergeCell ref="B20:D20"/>
    <mergeCell ref="B21:D21"/>
    <mergeCell ref="B22:D22"/>
    <mergeCell ref="A24:I24"/>
    <mergeCell ref="B26:D26"/>
    <mergeCell ref="E26:G26"/>
    <mergeCell ref="H26:I26"/>
    <mergeCell ref="B15:D15"/>
    <mergeCell ref="B1:L1"/>
    <mergeCell ref="K2:L2"/>
    <mergeCell ref="C3:D3"/>
    <mergeCell ref="L7:L8"/>
    <mergeCell ref="A13:K13"/>
  </mergeCells>
  <pageMargins left="0.7" right="0.7" top="0.75" bottom="0.75" header="0" footer="0"/>
  <pageSetup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00"/>
  <sheetViews>
    <sheetView workbookViewId="0"/>
  </sheetViews>
  <sheetFormatPr defaultColWidth="14.42578125" defaultRowHeight="15" customHeight="1" x14ac:dyDescent="0.25"/>
  <cols>
    <col min="1" max="1" width="3.28515625" customWidth="1"/>
    <col min="2" max="2" width="20.7109375" customWidth="1"/>
    <col min="3" max="3" width="6.140625" customWidth="1"/>
    <col min="4" max="4" width="3" customWidth="1"/>
    <col min="5" max="5" width="9.85546875" customWidth="1"/>
    <col min="6" max="6" width="9.7109375" customWidth="1"/>
    <col min="7" max="7" width="9.85546875" customWidth="1"/>
    <col min="8" max="8" width="10.140625" customWidth="1"/>
    <col min="9" max="9" width="9.7109375" customWidth="1"/>
    <col min="10" max="11" width="10.7109375" customWidth="1"/>
    <col min="12" max="12" width="10.85546875" customWidth="1"/>
    <col min="13" max="13" width="11" customWidth="1"/>
    <col min="14" max="14" width="13.28515625" customWidth="1"/>
  </cols>
  <sheetData>
    <row r="1" spans="1:14" ht="12.75" customHeight="1" x14ac:dyDescent="0.25">
      <c r="A1" s="101"/>
      <c r="B1" s="101"/>
      <c r="C1" s="101"/>
      <c r="D1" s="101"/>
      <c r="E1" s="101"/>
      <c r="F1" s="101"/>
      <c r="G1" s="101"/>
      <c r="H1" s="101"/>
      <c r="I1" s="101"/>
      <c r="J1" s="101"/>
      <c r="K1" s="101"/>
      <c r="L1" s="101"/>
      <c r="M1" s="101"/>
      <c r="N1" s="101"/>
    </row>
    <row r="2" spans="1:14" ht="18.75" customHeight="1" x14ac:dyDescent="0.25">
      <c r="A2" s="320" t="s">
        <v>165</v>
      </c>
      <c r="B2" s="281"/>
      <c r="C2" s="281"/>
      <c r="D2" s="281"/>
      <c r="E2" s="281"/>
      <c r="F2" s="281"/>
      <c r="G2" s="281"/>
      <c r="H2" s="281"/>
      <c r="I2" s="281"/>
      <c r="J2" s="281"/>
      <c r="K2" s="281"/>
      <c r="L2" s="281"/>
      <c r="M2" s="281"/>
      <c r="N2" s="281"/>
    </row>
    <row r="3" spans="1:14" ht="12.75" customHeight="1" x14ac:dyDescent="0.25">
      <c r="A3" s="102"/>
      <c r="B3" s="103"/>
      <c r="C3" s="103"/>
      <c r="D3" s="103"/>
      <c r="E3" s="103"/>
      <c r="F3" s="104"/>
      <c r="G3" s="104"/>
      <c r="H3" s="105"/>
      <c r="I3" s="104"/>
      <c r="J3" s="104"/>
      <c r="K3" s="104"/>
      <c r="L3" s="104"/>
      <c r="M3" s="104"/>
      <c r="N3" s="103"/>
    </row>
    <row r="4" spans="1:14" ht="25.5" customHeight="1" x14ac:dyDescent="0.25">
      <c r="A4" s="106" t="s">
        <v>16</v>
      </c>
      <c r="B4" s="107" t="s">
        <v>34</v>
      </c>
      <c r="C4" s="107" t="s">
        <v>17</v>
      </c>
      <c r="D4" s="107"/>
      <c r="E4" s="107"/>
      <c r="F4" s="108" t="s">
        <v>166</v>
      </c>
      <c r="G4" s="108" t="s">
        <v>167</v>
      </c>
      <c r="H4" s="109" t="s">
        <v>168</v>
      </c>
      <c r="I4" s="108" t="s">
        <v>169</v>
      </c>
      <c r="J4" s="108" t="s">
        <v>170</v>
      </c>
      <c r="K4" s="108" t="s">
        <v>171</v>
      </c>
      <c r="L4" s="108" t="s">
        <v>172</v>
      </c>
      <c r="M4" s="108" t="s">
        <v>173</v>
      </c>
      <c r="N4" s="107" t="s">
        <v>19</v>
      </c>
    </row>
    <row r="5" spans="1:14" ht="25.5" customHeight="1" x14ac:dyDescent="0.25">
      <c r="A5" s="110">
        <v>1</v>
      </c>
      <c r="B5" s="111" t="s">
        <v>174</v>
      </c>
      <c r="C5" s="111"/>
      <c r="D5" s="111"/>
      <c r="E5" s="112"/>
      <c r="F5" s="113">
        <v>2.34</v>
      </c>
      <c r="G5" s="113">
        <v>2.65</v>
      </c>
      <c r="H5" s="114">
        <v>2.96</v>
      </c>
      <c r="I5" s="113">
        <v>3.27</v>
      </c>
      <c r="J5" s="113">
        <v>3.58</v>
      </c>
      <c r="K5" s="113">
        <v>3.89</v>
      </c>
      <c r="L5" s="113">
        <v>4.2</v>
      </c>
      <c r="M5" s="113">
        <v>4.51</v>
      </c>
      <c r="N5" s="115" t="s">
        <v>175</v>
      </c>
    </row>
    <row r="6" spans="1:14" ht="12.75" customHeight="1" x14ac:dyDescent="0.25">
      <c r="A6" s="110">
        <v>2</v>
      </c>
      <c r="B6" s="111" t="s">
        <v>176</v>
      </c>
      <c r="C6" s="112">
        <v>1</v>
      </c>
      <c r="D6" s="112" t="s">
        <v>177</v>
      </c>
      <c r="E6" s="116">
        <v>2000000</v>
      </c>
      <c r="F6" s="117">
        <v>2000000</v>
      </c>
      <c r="G6" s="117">
        <v>2000000</v>
      </c>
      <c r="H6" s="118">
        <v>2000000</v>
      </c>
      <c r="I6" s="117">
        <v>2000000</v>
      </c>
      <c r="J6" s="117">
        <v>2000000</v>
      </c>
      <c r="K6" s="117">
        <v>2000000</v>
      </c>
      <c r="L6" s="117">
        <v>2000000</v>
      </c>
      <c r="M6" s="117">
        <v>2000000</v>
      </c>
      <c r="N6" s="115"/>
    </row>
    <row r="7" spans="1:14" ht="12.75" customHeight="1" x14ac:dyDescent="0.25">
      <c r="A7" s="110">
        <v>3</v>
      </c>
      <c r="B7" s="111" t="s">
        <v>178</v>
      </c>
      <c r="C7" s="112" t="s">
        <v>179</v>
      </c>
      <c r="D7" s="112" t="s">
        <v>177</v>
      </c>
      <c r="E7" s="112" t="s">
        <v>180</v>
      </c>
      <c r="F7" s="119">
        <v>4680000</v>
      </c>
      <c r="G7" s="119">
        <v>5300000</v>
      </c>
      <c r="H7" s="120">
        <v>5920000</v>
      </c>
      <c r="I7" s="119">
        <v>6540000</v>
      </c>
      <c r="J7" s="119">
        <v>7160000</v>
      </c>
      <c r="K7" s="119">
        <v>7780000</v>
      </c>
      <c r="L7" s="119">
        <v>8400000</v>
      </c>
      <c r="M7" s="119">
        <v>9020000</v>
      </c>
      <c r="N7" s="115"/>
    </row>
    <row r="8" spans="1:14" ht="25.5" customHeight="1" x14ac:dyDescent="0.25">
      <c r="A8" s="110"/>
      <c r="B8" s="111" t="s">
        <v>181</v>
      </c>
      <c r="C8" s="121">
        <v>0.12</v>
      </c>
      <c r="D8" s="112" t="s">
        <v>177</v>
      </c>
      <c r="E8" s="112" t="s">
        <v>182</v>
      </c>
      <c r="F8" s="119">
        <v>561600</v>
      </c>
      <c r="G8" s="119">
        <v>636000</v>
      </c>
      <c r="H8" s="120">
        <v>710400</v>
      </c>
      <c r="I8" s="119">
        <v>784800</v>
      </c>
      <c r="J8" s="119">
        <v>859200</v>
      </c>
      <c r="K8" s="119">
        <v>933600</v>
      </c>
      <c r="L8" s="119">
        <v>1008000</v>
      </c>
      <c r="M8" s="119">
        <v>1082400</v>
      </c>
      <c r="N8" s="115"/>
    </row>
    <row r="9" spans="1:14" ht="25.5" customHeight="1" x14ac:dyDescent="0.25">
      <c r="A9" s="110"/>
      <c r="B9" s="111" t="s">
        <v>183</v>
      </c>
      <c r="C9" s="121">
        <v>0.04</v>
      </c>
      <c r="D9" s="112" t="s">
        <v>177</v>
      </c>
      <c r="E9" s="112" t="s">
        <v>182</v>
      </c>
      <c r="F9" s="119">
        <v>187200</v>
      </c>
      <c r="G9" s="119">
        <v>212000</v>
      </c>
      <c r="H9" s="120">
        <v>236800</v>
      </c>
      <c r="I9" s="119">
        <v>261600</v>
      </c>
      <c r="J9" s="119">
        <v>286400</v>
      </c>
      <c r="K9" s="119">
        <v>311200</v>
      </c>
      <c r="L9" s="119">
        <v>336000</v>
      </c>
      <c r="M9" s="119">
        <v>360800</v>
      </c>
      <c r="N9" s="115"/>
    </row>
    <row r="10" spans="1:14" ht="25.5" customHeight="1" x14ac:dyDescent="0.25">
      <c r="A10" s="110"/>
      <c r="B10" s="111" t="s">
        <v>184</v>
      </c>
      <c r="C10" s="121">
        <v>0.1</v>
      </c>
      <c r="D10" s="112" t="s">
        <v>177</v>
      </c>
      <c r="E10" s="112" t="s">
        <v>182</v>
      </c>
      <c r="F10" s="119">
        <v>468000</v>
      </c>
      <c r="G10" s="119">
        <v>530000</v>
      </c>
      <c r="H10" s="120">
        <v>592000</v>
      </c>
      <c r="I10" s="119">
        <v>654000</v>
      </c>
      <c r="J10" s="119">
        <v>716000</v>
      </c>
      <c r="K10" s="119">
        <v>778000</v>
      </c>
      <c r="L10" s="119">
        <v>840000</v>
      </c>
      <c r="M10" s="119">
        <v>902000</v>
      </c>
      <c r="N10" s="115"/>
    </row>
    <row r="11" spans="1:14" ht="12.75" customHeight="1" x14ac:dyDescent="0.25">
      <c r="A11" s="110">
        <v>4</v>
      </c>
      <c r="B11" s="111" t="s">
        <v>185</v>
      </c>
      <c r="C11" s="121">
        <v>0.16</v>
      </c>
      <c r="D11" s="121" t="s">
        <v>177</v>
      </c>
      <c r="E11" s="112" t="s">
        <v>182</v>
      </c>
      <c r="F11" s="119">
        <v>748800</v>
      </c>
      <c r="G11" s="119">
        <v>848000</v>
      </c>
      <c r="H11" s="120">
        <v>947200</v>
      </c>
      <c r="I11" s="119">
        <v>1046400</v>
      </c>
      <c r="J11" s="119">
        <v>1145600</v>
      </c>
      <c r="K11" s="119">
        <v>1244800</v>
      </c>
      <c r="L11" s="119">
        <v>1344000</v>
      </c>
      <c r="M11" s="119">
        <v>1443200</v>
      </c>
      <c r="N11" s="112"/>
    </row>
    <row r="12" spans="1:14" ht="12.75" customHeight="1" x14ac:dyDescent="0.25">
      <c r="A12" s="110">
        <v>5</v>
      </c>
      <c r="B12" s="111" t="s">
        <v>186</v>
      </c>
      <c r="C12" s="121">
        <v>0.03</v>
      </c>
      <c r="D12" s="121" t="s">
        <v>177</v>
      </c>
      <c r="E12" s="112" t="s">
        <v>182</v>
      </c>
      <c r="F12" s="119">
        <v>140400</v>
      </c>
      <c r="G12" s="119">
        <v>159000</v>
      </c>
      <c r="H12" s="120">
        <v>177600</v>
      </c>
      <c r="I12" s="119">
        <v>196200</v>
      </c>
      <c r="J12" s="119">
        <v>214800</v>
      </c>
      <c r="K12" s="119">
        <v>233400</v>
      </c>
      <c r="L12" s="119">
        <v>252000</v>
      </c>
      <c r="M12" s="119">
        <v>270600</v>
      </c>
      <c r="N12" s="112"/>
    </row>
    <row r="13" spans="1:14" ht="12.75" customHeight="1" x14ac:dyDescent="0.25">
      <c r="A13" s="110">
        <v>6</v>
      </c>
      <c r="B13" s="111" t="s">
        <v>187</v>
      </c>
      <c r="C13" s="121">
        <v>0.01</v>
      </c>
      <c r="D13" s="121" t="s">
        <v>177</v>
      </c>
      <c r="E13" s="112" t="s">
        <v>182</v>
      </c>
      <c r="F13" s="119">
        <v>46800</v>
      </c>
      <c r="G13" s="119">
        <v>53000</v>
      </c>
      <c r="H13" s="120">
        <v>59200</v>
      </c>
      <c r="I13" s="119">
        <v>65400</v>
      </c>
      <c r="J13" s="119">
        <v>71600</v>
      </c>
      <c r="K13" s="119">
        <v>77800</v>
      </c>
      <c r="L13" s="119">
        <v>84000</v>
      </c>
      <c r="M13" s="119">
        <v>90200</v>
      </c>
      <c r="N13" s="112"/>
    </row>
    <row r="14" spans="1:14" ht="12.75" customHeight="1" x14ac:dyDescent="0.25">
      <c r="A14" s="110">
        <v>7</v>
      </c>
      <c r="B14" s="111" t="s">
        <v>188</v>
      </c>
      <c r="C14" s="121">
        <v>0.15</v>
      </c>
      <c r="D14" s="121" t="s">
        <v>177</v>
      </c>
      <c r="E14" s="122" t="s">
        <v>180</v>
      </c>
      <c r="F14" s="119">
        <v>300000</v>
      </c>
      <c r="G14" s="119">
        <v>300000</v>
      </c>
      <c r="H14" s="120">
        <v>300000</v>
      </c>
      <c r="I14" s="119">
        <v>300000</v>
      </c>
      <c r="J14" s="119">
        <v>300000</v>
      </c>
      <c r="K14" s="119">
        <v>300000</v>
      </c>
      <c r="L14" s="119">
        <v>300000</v>
      </c>
      <c r="M14" s="119">
        <v>300000</v>
      </c>
      <c r="N14" s="115"/>
    </row>
    <row r="15" spans="1:14" ht="12.75" customHeight="1" x14ac:dyDescent="0.25">
      <c r="A15" s="110">
        <v>8</v>
      </c>
      <c r="B15" s="111" t="s">
        <v>189</v>
      </c>
      <c r="C15" s="121">
        <v>0.02</v>
      </c>
      <c r="D15" s="121" t="s">
        <v>177</v>
      </c>
      <c r="E15" s="112" t="s">
        <v>182</v>
      </c>
      <c r="F15" s="119">
        <v>93600</v>
      </c>
      <c r="G15" s="119">
        <v>106000</v>
      </c>
      <c r="H15" s="120">
        <v>118400</v>
      </c>
      <c r="I15" s="119">
        <v>130800</v>
      </c>
      <c r="J15" s="119">
        <v>143200</v>
      </c>
      <c r="K15" s="119">
        <v>155600</v>
      </c>
      <c r="L15" s="119">
        <v>168000</v>
      </c>
      <c r="M15" s="119">
        <v>180400</v>
      </c>
      <c r="N15" s="115"/>
    </row>
    <row r="16" spans="1:14" ht="12.75" customHeight="1" x14ac:dyDescent="0.25">
      <c r="A16" s="110">
        <v>9</v>
      </c>
      <c r="B16" s="111" t="s">
        <v>190</v>
      </c>
      <c r="C16" s="112">
        <v>1</v>
      </c>
      <c r="D16" s="121" t="s">
        <v>177</v>
      </c>
      <c r="E16" s="123">
        <v>620000</v>
      </c>
      <c r="F16" s="119">
        <v>620000</v>
      </c>
      <c r="G16" s="119">
        <v>620000</v>
      </c>
      <c r="H16" s="120">
        <v>620000</v>
      </c>
      <c r="I16" s="119">
        <v>620000</v>
      </c>
      <c r="J16" s="119">
        <v>620000</v>
      </c>
      <c r="K16" s="119">
        <v>620000</v>
      </c>
      <c r="L16" s="119">
        <v>620000</v>
      </c>
      <c r="M16" s="119">
        <v>620000</v>
      </c>
      <c r="N16" s="115"/>
    </row>
    <row r="17" spans="1:14" ht="12.75" customHeight="1" x14ac:dyDescent="0.25">
      <c r="A17" s="110">
        <v>10</v>
      </c>
      <c r="B17" s="111" t="s">
        <v>191</v>
      </c>
      <c r="C17" s="112"/>
      <c r="D17" s="112"/>
      <c r="E17" s="112"/>
      <c r="F17" s="119">
        <v>7846400</v>
      </c>
      <c r="G17" s="119">
        <v>8764000</v>
      </c>
      <c r="H17" s="120">
        <v>9681600</v>
      </c>
      <c r="I17" s="119">
        <v>10599200</v>
      </c>
      <c r="J17" s="119">
        <v>11516800</v>
      </c>
      <c r="K17" s="119">
        <v>12434400</v>
      </c>
      <c r="L17" s="119">
        <v>13352000</v>
      </c>
      <c r="M17" s="119">
        <v>14269600</v>
      </c>
      <c r="N17" s="111"/>
    </row>
    <row r="18" spans="1:14" ht="12.75" customHeight="1" x14ac:dyDescent="0.25">
      <c r="A18" s="110"/>
      <c r="B18" s="124" t="s">
        <v>192</v>
      </c>
      <c r="C18" s="125"/>
      <c r="D18" s="125"/>
      <c r="E18" s="125"/>
      <c r="F18" s="126">
        <v>356655</v>
      </c>
      <c r="G18" s="126">
        <v>398364</v>
      </c>
      <c r="H18" s="127">
        <v>440073</v>
      </c>
      <c r="I18" s="126">
        <v>481782</v>
      </c>
      <c r="J18" s="126">
        <v>523491</v>
      </c>
      <c r="K18" s="126">
        <v>565200</v>
      </c>
      <c r="L18" s="126">
        <v>606909</v>
      </c>
      <c r="M18" s="126">
        <v>648618</v>
      </c>
      <c r="N18" s="111"/>
    </row>
    <row r="19" spans="1:14" ht="12.75" customHeight="1" x14ac:dyDescent="0.25">
      <c r="A19" s="110"/>
      <c r="B19" s="128" t="s">
        <v>193</v>
      </c>
      <c r="C19" s="125"/>
      <c r="D19" s="125"/>
      <c r="E19" s="125"/>
      <c r="F19" s="129">
        <v>44582</v>
      </c>
      <c r="G19" s="129">
        <v>49796</v>
      </c>
      <c r="H19" s="130">
        <v>55009</v>
      </c>
      <c r="I19" s="129">
        <v>60223</v>
      </c>
      <c r="J19" s="129">
        <v>65436</v>
      </c>
      <c r="K19" s="129">
        <v>70650</v>
      </c>
      <c r="L19" s="129">
        <v>75864</v>
      </c>
      <c r="M19" s="129">
        <v>81077</v>
      </c>
      <c r="N19" s="131"/>
    </row>
    <row r="20" spans="1:14" ht="12.75" customHeight="1" x14ac:dyDescent="0.25">
      <c r="A20" s="102"/>
      <c r="B20" s="102"/>
      <c r="C20" s="102"/>
      <c r="D20" s="102"/>
      <c r="E20" s="102"/>
      <c r="F20" s="102"/>
      <c r="G20" s="102"/>
      <c r="H20" s="102"/>
      <c r="I20" s="102"/>
      <c r="J20" s="102"/>
      <c r="K20" s="102"/>
      <c r="L20" s="102"/>
      <c r="M20" s="102"/>
      <c r="N20" s="102"/>
    </row>
    <row r="21" spans="1:14" ht="15.75" customHeight="1" x14ac:dyDescent="0.25">
      <c r="A21" s="101"/>
      <c r="B21" s="2" t="s">
        <v>194</v>
      </c>
      <c r="C21" s="132"/>
      <c r="D21" s="132"/>
      <c r="E21" s="132"/>
      <c r="F21" s="132"/>
      <c r="G21" s="132"/>
      <c r="H21" s="101"/>
      <c r="I21" s="101"/>
      <c r="J21" s="101"/>
      <c r="K21" s="101"/>
      <c r="L21" s="101"/>
      <c r="M21" s="101"/>
      <c r="N21" s="101"/>
    </row>
    <row r="22" spans="1:14" ht="12.75" customHeight="1" x14ac:dyDescent="0.25">
      <c r="A22" s="101"/>
      <c r="B22" s="101"/>
      <c r="C22" s="101"/>
      <c r="D22" s="101"/>
      <c r="E22" s="101"/>
      <c r="F22" s="101"/>
      <c r="G22" s="101"/>
      <c r="H22" s="101"/>
      <c r="I22" s="101"/>
      <c r="J22" s="101"/>
      <c r="K22" s="101"/>
      <c r="L22" s="101"/>
      <c r="M22" s="101"/>
      <c r="N22" s="101"/>
    </row>
    <row r="23" spans="1:14" ht="12.75" customHeight="1" x14ac:dyDescent="0.25">
      <c r="A23" s="101"/>
      <c r="B23" s="101"/>
      <c r="C23" s="101"/>
      <c r="D23" s="101"/>
      <c r="E23" s="101"/>
      <c r="F23" s="101"/>
      <c r="G23" s="101"/>
      <c r="H23" s="101"/>
      <c r="I23" s="101"/>
      <c r="J23" s="101"/>
      <c r="K23" s="101"/>
      <c r="L23" s="101"/>
      <c r="M23" s="101"/>
      <c r="N23" s="101"/>
    </row>
    <row r="24" spans="1:14" ht="12.75" customHeight="1" x14ac:dyDescent="0.25">
      <c r="A24" s="101"/>
      <c r="B24" s="101"/>
      <c r="C24" s="101"/>
      <c r="D24" s="101"/>
      <c r="E24" s="101"/>
      <c r="F24" s="101"/>
      <c r="G24" s="101"/>
      <c r="H24" s="101"/>
      <c r="I24" s="101"/>
      <c r="J24" s="101"/>
      <c r="K24" s="101"/>
      <c r="L24" s="101"/>
      <c r="M24" s="101"/>
      <c r="N24" s="101"/>
    </row>
    <row r="25" spans="1:14" ht="12.75" customHeight="1" x14ac:dyDescent="0.25">
      <c r="A25" s="101"/>
      <c r="B25" s="101"/>
      <c r="C25" s="101"/>
      <c r="D25" s="101"/>
      <c r="E25" s="101"/>
      <c r="F25" s="101"/>
      <c r="G25" s="101"/>
      <c r="H25" s="101"/>
      <c r="I25" s="101"/>
      <c r="J25" s="101"/>
      <c r="K25" s="101"/>
      <c r="L25" s="101"/>
      <c r="M25" s="101"/>
      <c r="N25" s="101"/>
    </row>
    <row r="26" spans="1:14" ht="12.75" customHeight="1" x14ac:dyDescent="0.25">
      <c r="A26" s="101"/>
      <c r="B26" s="101"/>
      <c r="C26" s="101"/>
      <c r="D26" s="101"/>
      <c r="E26" s="101"/>
      <c r="F26" s="101"/>
      <c r="G26" s="101"/>
      <c r="H26" s="101"/>
      <c r="I26" s="101"/>
      <c r="J26" s="101"/>
      <c r="K26" s="101"/>
      <c r="L26" s="101"/>
      <c r="M26" s="101"/>
      <c r="N26" s="101"/>
    </row>
    <row r="27" spans="1:14" ht="12.75" customHeight="1" x14ac:dyDescent="0.25">
      <c r="A27" s="101"/>
      <c r="B27" s="101"/>
      <c r="C27" s="101"/>
      <c r="D27" s="101"/>
      <c r="E27" s="101"/>
      <c r="F27" s="101"/>
      <c r="G27" s="101"/>
      <c r="H27" s="101"/>
      <c r="I27" s="101"/>
      <c r="J27" s="101"/>
      <c r="K27" s="101"/>
      <c r="L27" s="101"/>
      <c r="M27" s="101"/>
      <c r="N27" s="101"/>
    </row>
    <row r="28" spans="1:14" ht="12.75" customHeight="1" x14ac:dyDescent="0.25">
      <c r="A28" s="101"/>
      <c r="B28" s="101"/>
      <c r="C28" s="101"/>
      <c r="D28" s="101"/>
      <c r="E28" s="101"/>
      <c r="F28" s="101"/>
      <c r="G28" s="101"/>
      <c r="H28" s="101"/>
      <c r="I28" s="101"/>
      <c r="J28" s="101"/>
      <c r="K28" s="101"/>
      <c r="L28" s="101"/>
      <c r="M28" s="101"/>
      <c r="N28" s="101"/>
    </row>
    <row r="29" spans="1:14" ht="12.75" customHeight="1" x14ac:dyDescent="0.25">
      <c r="A29" s="101"/>
      <c r="B29" s="101"/>
      <c r="C29" s="101"/>
      <c r="D29" s="101"/>
      <c r="E29" s="101"/>
      <c r="F29" s="101"/>
      <c r="G29" s="101"/>
      <c r="H29" s="101"/>
      <c r="I29" s="101"/>
      <c r="J29" s="101"/>
      <c r="K29" s="101"/>
      <c r="L29" s="101"/>
      <c r="M29" s="101"/>
      <c r="N29" s="101"/>
    </row>
    <row r="30" spans="1:14" ht="12.75" customHeight="1" x14ac:dyDescent="0.25">
      <c r="A30" s="101"/>
      <c r="B30" s="101"/>
      <c r="C30" s="101"/>
      <c r="D30" s="101"/>
      <c r="E30" s="101"/>
      <c r="F30" s="101"/>
      <c r="G30" s="101"/>
      <c r="H30" s="101"/>
      <c r="I30" s="101"/>
      <c r="J30" s="101"/>
      <c r="K30" s="101"/>
      <c r="L30" s="101"/>
      <c r="M30" s="101"/>
      <c r="N30" s="101"/>
    </row>
    <row r="31" spans="1:14" ht="12.75" customHeight="1" x14ac:dyDescent="0.25">
      <c r="A31" s="101"/>
      <c r="B31" s="101"/>
      <c r="C31" s="101"/>
      <c r="D31" s="101"/>
      <c r="E31" s="101"/>
      <c r="F31" s="101"/>
      <c r="G31" s="101"/>
      <c r="H31" s="101"/>
      <c r="I31" s="101"/>
      <c r="J31" s="101"/>
      <c r="K31" s="101"/>
      <c r="L31" s="101"/>
      <c r="M31" s="101"/>
      <c r="N31" s="101"/>
    </row>
    <row r="32" spans="1:14" ht="12.75" customHeight="1" x14ac:dyDescent="0.25">
      <c r="A32" s="101"/>
      <c r="B32" s="101"/>
      <c r="C32" s="101"/>
      <c r="D32" s="101"/>
      <c r="E32" s="101"/>
      <c r="F32" s="101"/>
      <c r="G32" s="101"/>
      <c r="H32" s="101"/>
      <c r="I32" s="101"/>
      <c r="J32" s="101"/>
      <c r="K32" s="101"/>
      <c r="L32" s="101"/>
      <c r="M32" s="101"/>
      <c r="N32" s="101"/>
    </row>
    <row r="33" spans="1:14" ht="12.75" customHeight="1" x14ac:dyDescent="0.25">
      <c r="A33" s="101"/>
      <c r="B33" s="101"/>
      <c r="C33" s="101"/>
      <c r="D33" s="101"/>
      <c r="E33" s="101"/>
      <c r="F33" s="101"/>
      <c r="G33" s="101"/>
      <c r="H33" s="101"/>
      <c r="I33" s="101"/>
      <c r="J33" s="101"/>
      <c r="K33" s="101"/>
      <c r="L33" s="101"/>
      <c r="M33" s="101"/>
      <c r="N33" s="101"/>
    </row>
    <row r="34" spans="1:14" ht="12.75" customHeight="1" x14ac:dyDescent="0.25">
      <c r="A34" s="101"/>
      <c r="B34" s="101"/>
      <c r="C34" s="101"/>
      <c r="D34" s="101"/>
      <c r="E34" s="101"/>
      <c r="F34" s="101"/>
      <c r="G34" s="101"/>
      <c r="H34" s="101"/>
      <c r="I34" s="101"/>
      <c r="J34" s="101"/>
      <c r="K34" s="101"/>
      <c r="L34" s="101"/>
      <c r="M34" s="101"/>
      <c r="N34" s="101"/>
    </row>
    <row r="35" spans="1:14" ht="12.75" customHeight="1" x14ac:dyDescent="0.25">
      <c r="A35" s="101"/>
      <c r="B35" s="101"/>
      <c r="C35" s="101"/>
      <c r="D35" s="101"/>
      <c r="E35" s="101"/>
      <c r="F35" s="101"/>
      <c r="G35" s="101"/>
      <c r="H35" s="101"/>
      <c r="I35" s="101"/>
      <c r="J35" s="101"/>
      <c r="K35" s="101"/>
      <c r="L35" s="101"/>
      <c r="M35" s="101"/>
      <c r="N35" s="101"/>
    </row>
    <row r="36" spans="1:14" ht="12.75" customHeight="1" x14ac:dyDescent="0.25">
      <c r="A36" s="101"/>
      <c r="B36" s="101"/>
      <c r="C36" s="101"/>
      <c r="D36" s="101"/>
      <c r="E36" s="101"/>
      <c r="F36" s="101"/>
      <c r="G36" s="101"/>
      <c r="H36" s="101"/>
      <c r="I36" s="101"/>
      <c r="J36" s="101"/>
      <c r="K36" s="101"/>
      <c r="L36" s="101"/>
      <c r="M36" s="101"/>
      <c r="N36" s="101"/>
    </row>
    <row r="37" spans="1:14" ht="12.75" customHeight="1" x14ac:dyDescent="0.25">
      <c r="A37" s="101"/>
      <c r="B37" s="101"/>
      <c r="C37" s="101"/>
      <c r="D37" s="101"/>
      <c r="E37" s="101"/>
      <c r="F37" s="101"/>
      <c r="G37" s="101"/>
      <c r="H37" s="101"/>
      <c r="I37" s="101"/>
      <c r="J37" s="101"/>
      <c r="K37" s="101"/>
      <c r="L37" s="101"/>
      <c r="M37" s="101"/>
      <c r="N37" s="101"/>
    </row>
    <row r="38" spans="1:14" ht="12.75" customHeight="1" x14ac:dyDescent="0.25">
      <c r="A38" s="101"/>
      <c r="B38" s="101"/>
      <c r="C38" s="101"/>
      <c r="D38" s="101"/>
      <c r="E38" s="101"/>
      <c r="F38" s="101"/>
      <c r="G38" s="101"/>
      <c r="H38" s="101"/>
      <c r="I38" s="101"/>
      <c r="J38" s="101"/>
      <c r="K38" s="101"/>
      <c r="L38" s="101"/>
      <c r="M38" s="101"/>
      <c r="N38" s="101"/>
    </row>
    <row r="39" spans="1:14" ht="12.75" customHeight="1" x14ac:dyDescent="0.25">
      <c r="A39" s="101"/>
      <c r="B39" s="101"/>
      <c r="C39" s="101"/>
      <c r="D39" s="101"/>
      <c r="E39" s="101"/>
      <c r="F39" s="101"/>
      <c r="G39" s="101"/>
      <c r="H39" s="101"/>
      <c r="I39" s="101"/>
      <c r="J39" s="101"/>
      <c r="K39" s="101"/>
      <c r="L39" s="101"/>
      <c r="M39" s="101"/>
      <c r="N39" s="101"/>
    </row>
    <row r="40" spans="1:14" ht="12.75" customHeight="1" x14ac:dyDescent="0.25">
      <c r="A40" s="101"/>
      <c r="B40" s="101"/>
      <c r="C40" s="101"/>
      <c r="D40" s="101"/>
      <c r="E40" s="101"/>
      <c r="F40" s="101"/>
      <c r="G40" s="101"/>
      <c r="H40" s="101"/>
      <c r="I40" s="101"/>
      <c r="J40" s="101"/>
      <c r="K40" s="101"/>
      <c r="L40" s="101"/>
      <c r="M40" s="101"/>
      <c r="N40" s="101"/>
    </row>
    <row r="41" spans="1:14" ht="12.75" customHeight="1" x14ac:dyDescent="0.25">
      <c r="A41" s="101"/>
      <c r="B41" s="101"/>
      <c r="C41" s="101"/>
      <c r="D41" s="101"/>
      <c r="E41" s="101"/>
      <c r="F41" s="101"/>
      <c r="G41" s="101"/>
      <c r="H41" s="101"/>
      <c r="I41" s="101"/>
      <c r="J41" s="101"/>
      <c r="K41" s="101"/>
      <c r="L41" s="101"/>
      <c r="M41" s="101"/>
      <c r="N41" s="101"/>
    </row>
    <row r="42" spans="1:14" ht="12.75" customHeight="1" x14ac:dyDescent="0.25">
      <c r="A42" s="101"/>
      <c r="B42" s="101"/>
      <c r="C42" s="101"/>
      <c r="D42" s="101"/>
      <c r="E42" s="101"/>
      <c r="F42" s="101"/>
      <c r="G42" s="101"/>
      <c r="H42" s="101"/>
      <c r="I42" s="101"/>
      <c r="J42" s="101"/>
      <c r="K42" s="101"/>
      <c r="L42" s="101"/>
      <c r="M42" s="101"/>
      <c r="N42" s="101"/>
    </row>
    <row r="43" spans="1:14" ht="12.75" customHeight="1" x14ac:dyDescent="0.25">
      <c r="A43" s="101"/>
      <c r="B43" s="101"/>
      <c r="C43" s="101"/>
      <c r="D43" s="101"/>
      <c r="E43" s="101"/>
      <c r="F43" s="101"/>
      <c r="G43" s="101"/>
      <c r="H43" s="101"/>
      <c r="I43" s="101"/>
      <c r="J43" s="101"/>
      <c r="K43" s="101"/>
      <c r="L43" s="101"/>
      <c r="M43" s="101"/>
      <c r="N43" s="101"/>
    </row>
    <row r="44" spans="1:14" ht="12.75" customHeight="1" x14ac:dyDescent="0.25">
      <c r="A44" s="101"/>
      <c r="B44" s="101"/>
      <c r="C44" s="101"/>
      <c r="D44" s="101"/>
      <c r="E44" s="101"/>
      <c r="F44" s="101"/>
      <c r="G44" s="101"/>
      <c r="H44" s="101"/>
      <c r="I44" s="101"/>
      <c r="J44" s="101"/>
      <c r="K44" s="101"/>
      <c r="L44" s="101"/>
      <c r="M44" s="101"/>
      <c r="N44" s="101"/>
    </row>
    <row r="45" spans="1:14" ht="12.75" customHeight="1" x14ac:dyDescent="0.25">
      <c r="A45" s="101"/>
      <c r="B45" s="101"/>
      <c r="C45" s="101"/>
      <c r="D45" s="101"/>
      <c r="E45" s="101"/>
      <c r="F45" s="101"/>
      <c r="G45" s="101"/>
      <c r="H45" s="101"/>
      <c r="I45" s="101"/>
      <c r="J45" s="101"/>
      <c r="K45" s="101"/>
      <c r="L45" s="101"/>
      <c r="M45" s="101"/>
      <c r="N45" s="101"/>
    </row>
    <row r="46" spans="1:14" ht="12.75" customHeight="1" x14ac:dyDescent="0.25">
      <c r="A46" s="101"/>
      <c r="B46" s="101"/>
      <c r="C46" s="101"/>
      <c r="D46" s="101"/>
      <c r="E46" s="101"/>
      <c r="F46" s="101"/>
      <c r="G46" s="101"/>
      <c r="H46" s="101"/>
      <c r="I46" s="101"/>
      <c r="J46" s="101"/>
      <c r="K46" s="101"/>
      <c r="L46" s="101"/>
      <c r="M46" s="101"/>
      <c r="N46" s="101"/>
    </row>
    <row r="47" spans="1:14" ht="12.75" customHeight="1" x14ac:dyDescent="0.25">
      <c r="A47" s="101"/>
      <c r="B47" s="101"/>
      <c r="C47" s="101"/>
      <c r="D47" s="101"/>
      <c r="E47" s="101"/>
      <c r="F47" s="101"/>
      <c r="G47" s="101"/>
      <c r="H47" s="101"/>
      <c r="I47" s="101"/>
      <c r="J47" s="101"/>
      <c r="K47" s="101"/>
      <c r="L47" s="101"/>
      <c r="M47" s="101"/>
      <c r="N47" s="101"/>
    </row>
    <row r="48" spans="1:14" ht="12.75" customHeight="1" x14ac:dyDescent="0.25">
      <c r="A48" s="101"/>
      <c r="B48" s="101"/>
      <c r="C48" s="101"/>
      <c r="D48" s="101"/>
      <c r="E48" s="101"/>
      <c r="F48" s="101"/>
      <c r="G48" s="101"/>
      <c r="H48" s="101"/>
      <c r="I48" s="101"/>
      <c r="J48" s="101"/>
      <c r="K48" s="101"/>
      <c r="L48" s="101"/>
      <c r="M48" s="101"/>
      <c r="N48" s="101"/>
    </row>
    <row r="49" spans="1:14" ht="12.75" customHeight="1" x14ac:dyDescent="0.25">
      <c r="A49" s="101"/>
      <c r="B49" s="101"/>
      <c r="C49" s="101"/>
      <c r="D49" s="101"/>
      <c r="E49" s="101"/>
      <c r="F49" s="101"/>
      <c r="G49" s="101"/>
      <c r="H49" s="101"/>
      <c r="I49" s="101"/>
      <c r="J49" s="101"/>
      <c r="K49" s="101"/>
      <c r="L49" s="101"/>
      <c r="M49" s="101"/>
      <c r="N49" s="101"/>
    </row>
    <row r="50" spans="1:14" ht="12.75" customHeight="1" x14ac:dyDescent="0.25">
      <c r="A50" s="101"/>
      <c r="B50" s="101"/>
      <c r="C50" s="101"/>
      <c r="D50" s="101"/>
      <c r="E50" s="101"/>
      <c r="F50" s="101"/>
      <c r="G50" s="101"/>
      <c r="H50" s="101"/>
      <c r="I50" s="101"/>
      <c r="J50" s="101"/>
      <c r="K50" s="101"/>
      <c r="L50" s="101"/>
      <c r="M50" s="101"/>
      <c r="N50" s="101"/>
    </row>
    <row r="51" spans="1:14" ht="12.75" customHeight="1" x14ac:dyDescent="0.25">
      <c r="A51" s="101"/>
      <c r="B51" s="101"/>
      <c r="C51" s="101"/>
      <c r="D51" s="101"/>
      <c r="E51" s="101"/>
      <c r="F51" s="101"/>
      <c r="G51" s="101"/>
      <c r="H51" s="101"/>
      <c r="I51" s="101"/>
      <c r="J51" s="101"/>
      <c r="K51" s="101"/>
      <c r="L51" s="101"/>
      <c r="M51" s="101"/>
      <c r="N51" s="101"/>
    </row>
    <row r="52" spans="1:14" ht="12.75" customHeight="1" x14ac:dyDescent="0.25">
      <c r="A52" s="101"/>
      <c r="B52" s="101"/>
      <c r="C52" s="101"/>
      <c r="D52" s="101"/>
      <c r="E52" s="101"/>
      <c r="F52" s="101"/>
      <c r="G52" s="101"/>
      <c r="H52" s="101"/>
      <c r="I52" s="101"/>
      <c r="J52" s="101"/>
      <c r="K52" s="101"/>
      <c r="L52" s="101"/>
      <c r="M52" s="101"/>
      <c r="N52" s="101"/>
    </row>
    <row r="53" spans="1:14" ht="12.75" customHeight="1" x14ac:dyDescent="0.25">
      <c r="A53" s="101"/>
      <c r="B53" s="101"/>
      <c r="C53" s="101"/>
      <c r="D53" s="101"/>
      <c r="E53" s="101"/>
      <c r="F53" s="101"/>
      <c r="G53" s="101"/>
      <c r="H53" s="101"/>
      <c r="I53" s="101"/>
      <c r="J53" s="101"/>
      <c r="K53" s="101"/>
      <c r="L53" s="101"/>
      <c r="M53" s="101"/>
      <c r="N53" s="101"/>
    </row>
    <row r="54" spans="1:14" ht="12.75" customHeight="1" x14ac:dyDescent="0.25">
      <c r="A54" s="101"/>
      <c r="B54" s="101"/>
      <c r="C54" s="101"/>
      <c r="D54" s="101"/>
      <c r="E54" s="101"/>
      <c r="F54" s="101"/>
      <c r="G54" s="101"/>
      <c r="H54" s="101"/>
      <c r="I54" s="101"/>
      <c r="J54" s="101"/>
      <c r="K54" s="101"/>
      <c r="L54" s="101"/>
      <c r="M54" s="101"/>
      <c r="N54" s="101"/>
    </row>
    <row r="55" spans="1:14" ht="12.75" customHeight="1" x14ac:dyDescent="0.25">
      <c r="A55" s="101"/>
      <c r="B55" s="101"/>
      <c r="C55" s="101"/>
      <c r="D55" s="101"/>
      <c r="E55" s="101"/>
      <c r="F55" s="101"/>
      <c r="G55" s="101"/>
      <c r="H55" s="101"/>
      <c r="I55" s="101"/>
      <c r="J55" s="101"/>
      <c r="K55" s="101"/>
      <c r="L55" s="101"/>
      <c r="M55" s="101"/>
      <c r="N55" s="101"/>
    </row>
    <row r="56" spans="1:14" ht="12.75" customHeight="1" x14ac:dyDescent="0.25">
      <c r="A56" s="101"/>
      <c r="B56" s="101"/>
      <c r="C56" s="101"/>
      <c r="D56" s="101"/>
      <c r="E56" s="101"/>
      <c r="F56" s="101"/>
      <c r="G56" s="101"/>
      <c r="H56" s="101"/>
      <c r="I56" s="101"/>
      <c r="J56" s="101"/>
      <c r="K56" s="101"/>
      <c r="L56" s="101"/>
      <c r="M56" s="101"/>
      <c r="N56" s="101"/>
    </row>
    <row r="57" spans="1:14" ht="12.75" customHeight="1" x14ac:dyDescent="0.25">
      <c r="A57" s="101"/>
      <c r="B57" s="101"/>
      <c r="C57" s="101"/>
      <c r="D57" s="101"/>
      <c r="E57" s="101"/>
      <c r="F57" s="101"/>
      <c r="G57" s="101"/>
      <c r="H57" s="101"/>
      <c r="I57" s="101"/>
      <c r="J57" s="101"/>
      <c r="K57" s="101"/>
      <c r="L57" s="101"/>
      <c r="M57" s="101"/>
      <c r="N57" s="101"/>
    </row>
    <row r="58" spans="1:14" ht="12.75" customHeight="1" x14ac:dyDescent="0.25">
      <c r="A58" s="101"/>
      <c r="B58" s="101"/>
      <c r="C58" s="101"/>
      <c r="D58" s="101"/>
      <c r="E58" s="101"/>
      <c r="F58" s="101"/>
      <c r="G58" s="101"/>
      <c r="H58" s="101"/>
      <c r="I58" s="101"/>
      <c r="J58" s="101"/>
      <c r="K58" s="101"/>
      <c r="L58" s="101"/>
      <c r="M58" s="101"/>
      <c r="N58" s="101"/>
    </row>
    <row r="59" spans="1:14" ht="12.75" customHeight="1" x14ac:dyDescent="0.25">
      <c r="A59" s="101"/>
      <c r="B59" s="101"/>
      <c r="C59" s="101"/>
      <c r="D59" s="101"/>
      <c r="E59" s="101"/>
      <c r="F59" s="101"/>
      <c r="G59" s="101"/>
      <c r="H59" s="101"/>
      <c r="I59" s="101"/>
      <c r="J59" s="101"/>
      <c r="K59" s="101"/>
      <c r="L59" s="101"/>
      <c r="M59" s="101"/>
      <c r="N59" s="101"/>
    </row>
    <row r="60" spans="1:14" ht="12.75" customHeight="1" x14ac:dyDescent="0.25">
      <c r="A60" s="101"/>
      <c r="B60" s="101"/>
      <c r="C60" s="101"/>
      <c r="D60" s="101"/>
      <c r="E60" s="101"/>
      <c r="F60" s="101"/>
      <c r="G60" s="101"/>
      <c r="H60" s="101"/>
      <c r="I60" s="101"/>
      <c r="J60" s="101"/>
      <c r="K60" s="101"/>
      <c r="L60" s="101"/>
      <c r="M60" s="101"/>
      <c r="N60" s="101"/>
    </row>
    <row r="61" spans="1:14" ht="12.75" customHeight="1" x14ac:dyDescent="0.25">
      <c r="A61" s="101"/>
      <c r="B61" s="101"/>
      <c r="C61" s="101"/>
      <c r="D61" s="101"/>
      <c r="E61" s="101"/>
      <c r="F61" s="101"/>
      <c r="G61" s="101"/>
      <c r="H61" s="101"/>
      <c r="I61" s="101"/>
      <c r="J61" s="101"/>
      <c r="K61" s="101"/>
      <c r="L61" s="101"/>
      <c r="M61" s="101"/>
      <c r="N61" s="101"/>
    </row>
    <row r="62" spans="1:14" ht="12.75" customHeight="1" x14ac:dyDescent="0.25">
      <c r="A62" s="101"/>
      <c r="B62" s="101"/>
      <c r="C62" s="101"/>
      <c r="D62" s="101"/>
      <c r="E62" s="101"/>
      <c r="F62" s="101"/>
      <c r="G62" s="101"/>
      <c r="H62" s="101"/>
      <c r="I62" s="101"/>
      <c r="J62" s="101"/>
      <c r="K62" s="101"/>
      <c r="L62" s="101"/>
      <c r="M62" s="101"/>
      <c r="N62" s="101"/>
    </row>
    <row r="63" spans="1:14" ht="12.75" customHeight="1" x14ac:dyDescent="0.25">
      <c r="A63" s="101"/>
      <c r="B63" s="101"/>
      <c r="C63" s="101"/>
      <c r="D63" s="101"/>
      <c r="E63" s="101"/>
      <c r="F63" s="101"/>
      <c r="G63" s="101"/>
      <c r="H63" s="101"/>
      <c r="I63" s="101"/>
      <c r="J63" s="101"/>
      <c r="K63" s="101"/>
      <c r="L63" s="101"/>
      <c r="M63" s="101"/>
      <c r="N63" s="101"/>
    </row>
    <row r="64" spans="1:14" ht="12.75" customHeight="1" x14ac:dyDescent="0.25">
      <c r="A64" s="101"/>
      <c r="B64" s="101"/>
      <c r="C64" s="101"/>
      <c r="D64" s="101"/>
      <c r="E64" s="101"/>
      <c r="F64" s="101"/>
      <c r="G64" s="101"/>
      <c r="H64" s="101"/>
      <c r="I64" s="101"/>
      <c r="J64" s="101"/>
      <c r="K64" s="101"/>
      <c r="L64" s="101"/>
      <c r="M64" s="101"/>
      <c r="N64" s="101"/>
    </row>
    <row r="65" spans="1:14" ht="12.75" customHeight="1" x14ac:dyDescent="0.25">
      <c r="A65" s="101"/>
      <c r="B65" s="101"/>
      <c r="C65" s="101"/>
      <c r="D65" s="101"/>
      <c r="E65" s="101"/>
      <c r="F65" s="101"/>
      <c r="G65" s="101"/>
      <c r="H65" s="101"/>
      <c r="I65" s="101"/>
      <c r="J65" s="101"/>
      <c r="K65" s="101"/>
      <c r="L65" s="101"/>
      <c r="M65" s="101"/>
      <c r="N65" s="101"/>
    </row>
    <row r="66" spans="1:14" ht="12.75" customHeight="1" x14ac:dyDescent="0.25">
      <c r="A66" s="101"/>
      <c r="B66" s="101"/>
      <c r="C66" s="101"/>
      <c r="D66" s="101"/>
      <c r="E66" s="101"/>
      <c r="F66" s="101"/>
      <c r="G66" s="101"/>
      <c r="H66" s="101"/>
      <c r="I66" s="101"/>
      <c r="J66" s="101"/>
      <c r="K66" s="101"/>
      <c r="L66" s="101"/>
      <c r="M66" s="101"/>
      <c r="N66" s="101"/>
    </row>
    <row r="67" spans="1:14" ht="12.75" customHeight="1" x14ac:dyDescent="0.25">
      <c r="A67" s="101"/>
      <c r="B67" s="101"/>
      <c r="C67" s="101"/>
      <c r="D67" s="101"/>
      <c r="E67" s="101"/>
      <c r="F67" s="101"/>
      <c r="G67" s="101"/>
      <c r="H67" s="101"/>
      <c r="I67" s="101"/>
      <c r="J67" s="101"/>
      <c r="K67" s="101"/>
      <c r="L67" s="101"/>
      <c r="M67" s="101"/>
      <c r="N67" s="101"/>
    </row>
    <row r="68" spans="1:14" ht="12.75" customHeight="1" x14ac:dyDescent="0.25">
      <c r="A68" s="101"/>
      <c r="B68" s="101"/>
      <c r="C68" s="101"/>
      <c r="D68" s="101"/>
      <c r="E68" s="101"/>
      <c r="F68" s="101"/>
      <c r="G68" s="101"/>
      <c r="H68" s="101"/>
      <c r="I68" s="101"/>
      <c r="J68" s="101"/>
      <c r="K68" s="101"/>
      <c r="L68" s="101"/>
      <c r="M68" s="101"/>
      <c r="N68" s="101"/>
    </row>
    <row r="69" spans="1:14" ht="12.75" customHeight="1" x14ac:dyDescent="0.25">
      <c r="A69" s="101"/>
      <c r="B69" s="101"/>
      <c r="C69" s="101"/>
      <c r="D69" s="101"/>
      <c r="E69" s="101"/>
      <c r="F69" s="101"/>
      <c r="G69" s="101"/>
      <c r="H69" s="101"/>
      <c r="I69" s="101"/>
      <c r="J69" s="101"/>
      <c r="K69" s="101"/>
      <c r="L69" s="101"/>
      <c r="M69" s="101"/>
      <c r="N69" s="101"/>
    </row>
    <row r="70" spans="1:14" ht="12.75" customHeight="1" x14ac:dyDescent="0.25">
      <c r="A70" s="101"/>
      <c r="B70" s="101"/>
      <c r="C70" s="101"/>
      <c r="D70" s="101"/>
      <c r="E70" s="101"/>
      <c r="F70" s="101"/>
      <c r="G70" s="101"/>
      <c r="H70" s="101"/>
      <c r="I70" s="101"/>
      <c r="J70" s="101"/>
      <c r="K70" s="101"/>
      <c r="L70" s="101"/>
      <c r="M70" s="101"/>
      <c r="N70" s="101"/>
    </row>
    <row r="71" spans="1:14" ht="12.75" customHeight="1" x14ac:dyDescent="0.25">
      <c r="A71" s="101"/>
      <c r="B71" s="101"/>
      <c r="C71" s="101"/>
      <c r="D71" s="101"/>
      <c r="E71" s="101"/>
      <c r="F71" s="101"/>
      <c r="G71" s="101"/>
      <c r="H71" s="101"/>
      <c r="I71" s="101"/>
      <c r="J71" s="101"/>
      <c r="K71" s="101"/>
      <c r="L71" s="101"/>
      <c r="M71" s="101"/>
      <c r="N71" s="101"/>
    </row>
    <row r="72" spans="1:14" ht="12.75" customHeight="1" x14ac:dyDescent="0.25">
      <c r="A72" s="101"/>
      <c r="B72" s="101"/>
      <c r="C72" s="101"/>
      <c r="D72" s="101"/>
      <c r="E72" s="101"/>
      <c r="F72" s="101"/>
      <c r="G72" s="101"/>
      <c r="H72" s="101"/>
      <c r="I72" s="101"/>
      <c r="J72" s="101"/>
      <c r="K72" s="101"/>
      <c r="L72" s="101"/>
      <c r="M72" s="101"/>
      <c r="N72" s="101"/>
    </row>
    <row r="73" spans="1:14" ht="12.75" customHeight="1" x14ac:dyDescent="0.25">
      <c r="A73" s="101"/>
      <c r="B73" s="101"/>
      <c r="C73" s="101"/>
      <c r="D73" s="101"/>
      <c r="E73" s="101"/>
      <c r="F73" s="101"/>
      <c r="G73" s="101"/>
      <c r="H73" s="101"/>
      <c r="I73" s="101"/>
      <c r="J73" s="101"/>
      <c r="K73" s="101"/>
      <c r="L73" s="101"/>
      <c r="M73" s="101"/>
      <c r="N73" s="101"/>
    </row>
    <row r="74" spans="1:14" ht="12.75" customHeight="1" x14ac:dyDescent="0.25">
      <c r="A74" s="101"/>
      <c r="B74" s="101"/>
      <c r="C74" s="101"/>
      <c r="D74" s="101"/>
      <c r="E74" s="101"/>
      <c r="F74" s="101"/>
      <c r="G74" s="101"/>
      <c r="H74" s="101"/>
      <c r="I74" s="101"/>
      <c r="J74" s="101"/>
      <c r="K74" s="101"/>
      <c r="L74" s="101"/>
      <c r="M74" s="101"/>
      <c r="N74" s="101"/>
    </row>
    <row r="75" spans="1:14" ht="12.75" customHeight="1" x14ac:dyDescent="0.25">
      <c r="A75" s="101"/>
      <c r="B75" s="101"/>
      <c r="C75" s="101"/>
      <c r="D75" s="101"/>
      <c r="E75" s="101"/>
      <c r="F75" s="101"/>
      <c r="G75" s="101"/>
      <c r="H75" s="101"/>
      <c r="I75" s="101"/>
      <c r="J75" s="101"/>
      <c r="K75" s="101"/>
      <c r="L75" s="101"/>
      <c r="M75" s="101"/>
      <c r="N75" s="101"/>
    </row>
    <row r="76" spans="1:14" ht="12.75" customHeight="1" x14ac:dyDescent="0.25">
      <c r="A76" s="101"/>
      <c r="B76" s="101"/>
      <c r="C76" s="101"/>
      <c r="D76" s="101"/>
      <c r="E76" s="101"/>
      <c r="F76" s="101"/>
      <c r="G76" s="101"/>
      <c r="H76" s="101"/>
      <c r="I76" s="101"/>
      <c r="J76" s="101"/>
      <c r="K76" s="101"/>
      <c r="L76" s="101"/>
      <c r="M76" s="101"/>
      <c r="N76" s="101"/>
    </row>
    <row r="77" spans="1:14" ht="12.75" customHeight="1" x14ac:dyDescent="0.25">
      <c r="A77" s="101"/>
      <c r="B77" s="101"/>
      <c r="C77" s="101"/>
      <c r="D77" s="101"/>
      <c r="E77" s="101"/>
      <c r="F77" s="101"/>
      <c r="G77" s="101"/>
      <c r="H77" s="101"/>
      <c r="I77" s="101"/>
      <c r="J77" s="101"/>
      <c r="K77" s="101"/>
      <c r="L77" s="101"/>
      <c r="M77" s="101"/>
      <c r="N77" s="101"/>
    </row>
    <row r="78" spans="1:14" ht="12.75" customHeight="1" x14ac:dyDescent="0.25">
      <c r="A78" s="101"/>
      <c r="B78" s="101"/>
      <c r="C78" s="101"/>
      <c r="D78" s="101"/>
      <c r="E78" s="101"/>
      <c r="F78" s="101"/>
      <c r="G78" s="101"/>
      <c r="H78" s="101"/>
      <c r="I78" s="101"/>
      <c r="J78" s="101"/>
      <c r="K78" s="101"/>
      <c r="L78" s="101"/>
      <c r="M78" s="101"/>
      <c r="N78" s="101"/>
    </row>
    <row r="79" spans="1:14" ht="12.75" customHeight="1" x14ac:dyDescent="0.25">
      <c r="A79" s="101"/>
      <c r="B79" s="101"/>
      <c r="C79" s="101"/>
      <c r="D79" s="101"/>
      <c r="E79" s="101"/>
      <c r="F79" s="101"/>
      <c r="G79" s="101"/>
      <c r="H79" s="101"/>
      <c r="I79" s="101"/>
      <c r="J79" s="101"/>
      <c r="K79" s="101"/>
      <c r="L79" s="101"/>
      <c r="M79" s="101"/>
      <c r="N79" s="101"/>
    </row>
    <row r="80" spans="1:14" ht="12.75" customHeight="1" x14ac:dyDescent="0.25">
      <c r="A80" s="101"/>
      <c r="B80" s="101"/>
      <c r="C80" s="101"/>
      <c r="D80" s="101"/>
      <c r="E80" s="101"/>
      <c r="F80" s="101"/>
      <c r="G80" s="101"/>
      <c r="H80" s="101"/>
      <c r="I80" s="101"/>
      <c r="J80" s="101"/>
      <c r="K80" s="101"/>
      <c r="L80" s="101"/>
      <c r="M80" s="101"/>
      <c r="N80" s="101"/>
    </row>
    <row r="81" spans="1:14" ht="12.75" customHeight="1" x14ac:dyDescent="0.25">
      <c r="A81" s="101"/>
      <c r="B81" s="101"/>
      <c r="C81" s="101"/>
      <c r="D81" s="101"/>
      <c r="E81" s="101"/>
      <c r="F81" s="101"/>
      <c r="G81" s="101"/>
      <c r="H81" s="101"/>
      <c r="I81" s="101"/>
      <c r="J81" s="101"/>
      <c r="K81" s="101"/>
      <c r="L81" s="101"/>
      <c r="M81" s="101"/>
      <c r="N81" s="101"/>
    </row>
    <row r="82" spans="1:14" ht="12.75" customHeight="1" x14ac:dyDescent="0.25">
      <c r="A82" s="101"/>
      <c r="B82" s="101"/>
      <c r="C82" s="101"/>
      <c r="D82" s="101"/>
      <c r="E82" s="101"/>
      <c r="F82" s="101"/>
      <c r="G82" s="101"/>
      <c r="H82" s="101"/>
      <c r="I82" s="101"/>
      <c r="J82" s="101"/>
      <c r="K82" s="101"/>
      <c r="L82" s="101"/>
      <c r="M82" s="101"/>
      <c r="N82" s="101"/>
    </row>
    <row r="83" spans="1:14" ht="12.75" customHeight="1" x14ac:dyDescent="0.25">
      <c r="A83" s="101"/>
      <c r="B83" s="101"/>
      <c r="C83" s="101"/>
      <c r="D83" s="101"/>
      <c r="E83" s="101"/>
      <c r="F83" s="101"/>
      <c r="G83" s="101"/>
      <c r="H83" s="101"/>
      <c r="I83" s="101"/>
      <c r="J83" s="101"/>
      <c r="K83" s="101"/>
      <c r="L83" s="101"/>
      <c r="M83" s="101"/>
      <c r="N83" s="101"/>
    </row>
    <row r="84" spans="1:14" ht="12.75" customHeight="1" x14ac:dyDescent="0.25">
      <c r="A84" s="101"/>
      <c r="B84" s="101"/>
      <c r="C84" s="101"/>
      <c r="D84" s="101"/>
      <c r="E84" s="101"/>
      <c r="F84" s="101"/>
      <c r="G84" s="101"/>
      <c r="H84" s="101"/>
      <c r="I84" s="101"/>
      <c r="J84" s="101"/>
      <c r="K84" s="101"/>
      <c r="L84" s="101"/>
      <c r="M84" s="101"/>
      <c r="N84" s="101"/>
    </row>
    <row r="85" spans="1:14" ht="12.75" customHeight="1" x14ac:dyDescent="0.25">
      <c r="A85" s="101"/>
      <c r="B85" s="101"/>
      <c r="C85" s="101"/>
      <c r="D85" s="101"/>
      <c r="E85" s="101"/>
      <c r="F85" s="101"/>
      <c r="G85" s="101"/>
      <c r="H85" s="101"/>
      <c r="I85" s="101"/>
      <c r="J85" s="101"/>
      <c r="K85" s="101"/>
      <c r="L85" s="101"/>
      <c r="M85" s="101"/>
      <c r="N85" s="101"/>
    </row>
    <row r="86" spans="1:14" ht="12.75" customHeight="1" x14ac:dyDescent="0.25">
      <c r="A86" s="101"/>
      <c r="B86" s="101"/>
      <c r="C86" s="101"/>
      <c r="D86" s="101"/>
      <c r="E86" s="101"/>
      <c r="F86" s="101"/>
      <c r="G86" s="101"/>
      <c r="H86" s="101"/>
      <c r="I86" s="101"/>
      <c r="J86" s="101"/>
      <c r="K86" s="101"/>
      <c r="L86" s="101"/>
      <c r="M86" s="101"/>
      <c r="N86" s="101"/>
    </row>
    <row r="87" spans="1:14" ht="12.75" customHeight="1" x14ac:dyDescent="0.25">
      <c r="A87" s="101"/>
      <c r="B87" s="101"/>
      <c r="C87" s="101"/>
      <c r="D87" s="101"/>
      <c r="E87" s="101"/>
      <c r="F87" s="101"/>
      <c r="G87" s="101"/>
      <c r="H87" s="101"/>
      <c r="I87" s="101"/>
      <c r="J87" s="101"/>
      <c r="K87" s="101"/>
      <c r="L87" s="101"/>
      <c r="M87" s="101"/>
      <c r="N87" s="101"/>
    </row>
    <row r="88" spans="1:14" ht="12.75" customHeight="1" x14ac:dyDescent="0.25">
      <c r="A88" s="101"/>
      <c r="B88" s="101"/>
      <c r="C88" s="101"/>
      <c r="D88" s="101"/>
      <c r="E88" s="101"/>
      <c r="F88" s="101"/>
      <c r="G88" s="101"/>
      <c r="H88" s="101"/>
      <c r="I88" s="101"/>
      <c r="J88" s="101"/>
      <c r="K88" s="101"/>
      <c r="L88" s="101"/>
      <c r="M88" s="101"/>
      <c r="N88" s="101"/>
    </row>
    <row r="89" spans="1:14" ht="12.75" customHeight="1" x14ac:dyDescent="0.25">
      <c r="A89" s="101"/>
      <c r="B89" s="101"/>
      <c r="C89" s="101"/>
      <c r="D89" s="101"/>
      <c r="E89" s="101"/>
      <c r="F89" s="101"/>
      <c r="G89" s="101"/>
      <c r="H89" s="101"/>
      <c r="I89" s="101"/>
      <c r="J89" s="101"/>
      <c r="K89" s="101"/>
      <c r="L89" s="101"/>
      <c r="M89" s="101"/>
      <c r="N89" s="101"/>
    </row>
    <row r="90" spans="1:14" ht="12.75" customHeight="1" x14ac:dyDescent="0.25">
      <c r="A90" s="101"/>
      <c r="B90" s="101"/>
      <c r="C90" s="101"/>
      <c r="D90" s="101"/>
      <c r="E90" s="101"/>
      <c r="F90" s="101"/>
      <c r="G90" s="101"/>
      <c r="H90" s="101"/>
      <c r="I90" s="101"/>
      <c r="J90" s="101"/>
      <c r="K90" s="101"/>
      <c r="L90" s="101"/>
      <c r="M90" s="101"/>
      <c r="N90" s="101"/>
    </row>
    <row r="91" spans="1:14" ht="12.75" customHeight="1" x14ac:dyDescent="0.25">
      <c r="A91" s="101"/>
      <c r="B91" s="101"/>
      <c r="C91" s="101"/>
      <c r="D91" s="101"/>
      <c r="E91" s="101"/>
      <c r="F91" s="101"/>
      <c r="G91" s="101"/>
      <c r="H91" s="101"/>
      <c r="I91" s="101"/>
      <c r="J91" s="101"/>
      <c r="K91" s="101"/>
      <c r="L91" s="101"/>
      <c r="M91" s="101"/>
      <c r="N91" s="101"/>
    </row>
    <row r="92" spans="1:14" ht="12.75" customHeight="1" x14ac:dyDescent="0.25">
      <c r="A92" s="101"/>
      <c r="B92" s="101"/>
      <c r="C92" s="101"/>
      <c r="D92" s="101"/>
      <c r="E92" s="101"/>
      <c r="F92" s="101"/>
      <c r="G92" s="101"/>
      <c r="H92" s="101"/>
      <c r="I92" s="101"/>
      <c r="J92" s="101"/>
      <c r="K92" s="101"/>
      <c r="L92" s="101"/>
      <c r="M92" s="101"/>
      <c r="N92" s="101"/>
    </row>
    <row r="93" spans="1:14" ht="12.75" customHeight="1" x14ac:dyDescent="0.25">
      <c r="A93" s="101"/>
      <c r="B93" s="101"/>
      <c r="C93" s="101"/>
      <c r="D93" s="101"/>
      <c r="E93" s="101"/>
      <c r="F93" s="101"/>
      <c r="G93" s="101"/>
      <c r="H93" s="101"/>
      <c r="I93" s="101"/>
      <c r="J93" s="101"/>
      <c r="K93" s="101"/>
      <c r="L93" s="101"/>
      <c r="M93" s="101"/>
      <c r="N93" s="101"/>
    </row>
    <row r="94" spans="1:14" ht="12.75" customHeight="1" x14ac:dyDescent="0.25">
      <c r="A94" s="101"/>
      <c r="B94" s="101"/>
      <c r="C94" s="101"/>
      <c r="D94" s="101"/>
      <c r="E94" s="101"/>
      <c r="F94" s="101"/>
      <c r="G94" s="101"/>
      <c r="H94" s="101"/>
      <c r="I94" s="101"/>
      <c r="J94" s="101"/>
      <c r="K94" s="101"/>
      <c r="L94" s="101"/>
      <c r="M94" s="101"/>
      <c r="N94" s="101"/>
    </row>
    <row r="95" spans="1:14" ht="12.75" customHeight="1" x14ac:dyDescent="0.25">
      <c r="A95" s="101"/>
      <c r="B95" s="101"/>
      <c r="C95" s="101"/>
      <c r="D95" s="101"/>
      <c r="E95" s="101"/>
      <c r="F95" s="101"/>
      <c r="G95" s="101"/>
      <c r="H95" s="101"/>
      <c r="I95" s="101"/>
      <c r="J95" s="101"/>
      <c r="K95" s="101"/>
      <c r="L95" s="101"/>
      <c r="M95" s="101"/>
      <c r="N95" s="101"/>
    </row>
    <row r="96" spans="1:14" ht="12.75" customHeight="1" x14ac:dyDescent="0.25">
      <c r="A96" s="101"/>
      <c r="B96" s="101"/>
      <c r="C96" s="101"/>
      <c r="D96" s="101"/>
      <c r="E96" s="101"/>
      <c r="F96" s="101"/>
      <c r="G96" s="101"/>
      <c r="H96" s="101"/>
      <c r="I96" s="101"/>
      <c r="J96" s="101"/>
      <c r="K96" s="101"/>
      <c r="L96" s="101"/>
      <c r="M96" s="101"/>
      <c r="N96" s="101"/>
    </row>
    <row r="97" spans="1:14" ht="12.75" customHeight="1" x14ac:dyDescent="0.25">
      <c r="A97" s="101"/>
      <c r="B97" s="101"/>
      <c r="C97" s="101"/>
      <c r="D97" s="101"/>
      <c r="E97" s="101"/>
      <c r="F97" s="101"/>
      <c r="G97" s="101"/>
      <c r="H97" s="101"/>
      <c r="I97" s="101"/>
      <c r="J97" s="101"/>
      <c r="K97" s="101"/>
      <c r="L97" s="101"/>
      <c r="M97" s="101"/>
      <c r="N97" s="101"/>
    </row>
    <row r="98" spans="1:14" ht="12.75" customHeight="1" x14ac:dyDescent="0.25">
      <c r="A98" s="101"/>
      <c r="B98" s="101"/>
      <c r="C98" s="101"/>
      <c r="D98" s="101"/>
      <c r="E98" s="101"/>
      <c r="F98" s="101"/>
      <c r="G98" s="101"/>
      <c r="H98" s="101"/>
      <c r="I98" s="101"/>
      <c r="J98" s="101"/>
      <c r="K98" s="101"/>
      <c r="L98" s="101"/>
      <c r="M98" s="101"/>
      <c r="N98" s="101"/>
    </row>
    <row r="99" spans="1:14" ht="12.75" customHeight="1" x14ac:dyDescent="0.25">
      <c r="A99" s="101"/>
      <c r="B99" s="101"/>
      <c r="C99" s="101"/>
      <c r="D99" s="101"/>
      <c r="E99" s="101"/>
      <c r="F99" s="101"/>
      <c r="G99" s="101"/>
      <c r="H99" s="101"/>
      <c r="I99" s="101"/>
      <c r="J99" s="101"/>
      <c r="K99" s="101"/>
      <c r="L99" s="101"/>
      <c r="M99" s="101"/>
      <c r="N99" s="101"/>
    </row>
    <row r="100" spans="1:14" ht="12.75" customHeight="1" x14ac:dyDescent="0.25">
      <c r="A100" s="101"/>
      <c r="B100" s="101"/>
      <c r="C100" s="101"/>
      <c r="D100" s="101"/>
      <c r="E100" s="101"/>
      <c r="F100" s="101"/>
      <c r="G100" s="101"/>
      <c r="H100" s="101"/>
      <c r="I100" s="101"/>
      <c r="J100" s="101"/>
      <c r="K100" s="101"/>
      <c r="L100" s="101"/>
      <c r="M100" s="101"/>
      <c r="N100" s="101"/>
    </row>
  </sheetData>
  <mergeCells count="1">
    <mergeCell ref="A2:N2"/>
  </mergeCells>
  <pageMargins left="0.7" right="0.7" top="0.75" bottom="0.75" header="0" footer="0"/>
  <pageSetup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00"/>
  <sheetViews>
    <sheetView workbookViewId="0"/>
  </sheetViews>
  <sheetFormatPr defaultColWidth="14.42578125" defaultRowHeight="15" customHeight="1" x14ac:dyDescent="0.25"/>
  <cols>
    <col min="1" max="1" width="16.42578125" customWidth="1"/>
    <col min="2" max="2" width="40.28515625" customWidth="1"/>
    <col min="3" max="3" width="16.7109375" customWidth="1"/>
    <col min="4" max="4" width="33.5703125" customWidth="1"/>
    <col min="5" max="5" width="23.85546875" customWidth="1"/>
    <col min="6" max="11" width="8" customWidth="1"/>
  </cols>
  <sheetData>
    <row r="1" spans="1:5" ht="15.75" customHeight="1" x14ac:dyDescent="0.25">
      <c r="A1" s="1" t="s">
        <v>0</v>
      </c>
    </row>
    <row r="2" spans="1:5" ht="15.75" customHeight="1" x14ac:dyDescent="0.25">
      <c r="A2" s="2" t="s">
        <v>1</v>
      </c>
    </row>
    <row r="3" spans="1:5" ht="8.25" customHeight="1" x14ac:dyDescent="0.25"/>
    <row r="4" spans="1:5" ht="18.75" customHeight="1" x14ac:dyDescent="0.3">
      <c r="A4" s="327" t="s">
        <v>195</v>
      </c>
      <c r="B4" s="281"/>
      <c r="C4" s="281"/>
      <c r="D4" s="281"/>
      <c r="E4" s="281"/>
    </row>
    <row r="5" spans="1:5" ht="17.25" customHeight="1" x14ac:dyDescent="0.3">
      <c r="A5" s="327" t="s">
        <v>196</v>
      </c>
      <c r="B5" s="281"/>
      <c r="C5" s="281"/>
      <c r="D5" s="281"/>
      <c r="E5" s="281"/>
    </row>
    <row r="6" spans="1:5" ht="9.75" customHeight="1" x14ac:dyDescent="0.25">
      <c r="A6" s="132"/>
      <c r="B6" s="132"/>
      <c r="C6" s="132"/>
      <c r="D6" s="133"/>
      <c r="E6" s="132"/>
    </row>
    <row r="7" spans="1:5" ht="15.75" customHeight="1" x14ac:dyDescent="0.25">
      <c r="A7" s="134" t="s">
        <v>33</v>
      </c>
      <c r="B7" s="134" t="s">
        <v>5</v>
      </c>
      <c r="C7" s="330" t="s">
        <v>197</v>
      </c>
      <c r="D7" s="323"/>
      <c r="E7" s="34" t="s">
        <v>19</v>
      </c>
    </row>
    <row r="8" spans="1:5" ht="15.75" customHeight="1" x14ac:dyDescent="0.25">
      <c r="A8" s="134"/>
      <c r="B8" s="134"/>
      <c r="C8" s="135" t="s">
        <v>198</v>
      </c>
      <c r="D8" s="135" t="s">
        <v>5</v>
      </c>
      <c r="E8" s="34"/>
    </row>
    <row r="9" spans="1:5" ht="15.75" customHeight="1" x14ac:dyDescent="0.25">
      <c r="A9" s="134"/>
      <c r="B9" s="136" t="s">
        <v>199</v>
      </c>
      <c r="C9" s="137">
        <f>SUM(C16:C23)</f>
        <v>8122314.666666667</v>
      </c>
      <c r="D9" s="138"/>
      <c r="E9" s="139"/>
    </row>
    <row r="10" spans="1:5" ht="15.75" customHeight="1" x14ac:dyDescent="0.25">
      <c r="A10" s="134"/>
      <c r="B10" s="136" t="s">
        <v>200</v>
      </c>
      <c r="C10" s="137">
        <f>C9/22</f>
        <v>369196.12121212122</v>
      </c>
      <c r="D10" s="140" t="s">
        <v>201</v>
      </c>
      <c r="E10" s="139"/>
    </row>
    <row r="11" spans="1:5" ht="15.75" customHeight="1" x14ac:dyDescent="0.25">
      <c r="A11" s="134"/>
      <c r="B11" s="136" t="s">
        <v>202</v>
      </c>
      <c r="C11" s="137">
        <f>C10/8</f>
        <v>46149.515151515152</v>
      </c>
      <c r="D11" s="140" t="s">
        <v>203</v>
      </c>
      <c r="E11" s="139"/>
    </row>
    <row r="12" spans="1:5" ht="15.75" customHeight="1" x14ac:dyDescent="0.25">
      <c r="A12" s="134">
        <v>1</v>
      </c>
      <c r="B12" s="141" t="s">
        <v>204</v>
      </c>
      <c r="C12" s="142">
        <v>2.96</v>
      </c>
      <c r="D12" s="143"/>
      <c r="E12" s="139"/>
    </row>
    <row r="13" spans="1:5" ht="15.75" customHeight="1" x14ac:dyDescent="0.25">
      <c r="A13" s="134">
        <v>2</v>
      </c>
      <c r="B13" s="144" t="s">
        <v>205</v>
      </c>
      <c r="C13" s="145">
        <v>830000</v>
      </c>
      <c r="D13" s="146"/>
      <c r="E13" s="139"/>
    </row>
    <row r="14" spans="1:5" ht="31.5" customHeight="1" x14ac:dyDescent="0.25">
      <c r="A14" s="134">
        <v>3</v>
      </c>
      <c r="B14" s="144" t="s">
        <v>206</v>
      </c>
      <c r="C14" s="145">
        <v>1050000</v>
      </c>
      <c r="D14" s="146"/>
      <c r="E14" s="139"/>
    </row>
    <row r="15" spans="1:5" ht="15.75" customHeight="1" x14ac:dyDescent="0.25">
      <c r="A15" s="134">
        <v>4</v>
      </c>
      <c r="B15" s="144" t="s">
        <v>207</v>
      </c>
      <c r="C15" s="145">
        <v>2000000</v>
      </c>
      <c r="D15" s="146"/>
      <c r="E15" s="139"/>
    </row>
    <row r="16" spans="1:5" ht="15.75" customHeight="1" x14ac:dyDescent="0.25">
      <c r="A16" s="134">
        <v>5</v>
      </c>
      <c r="B16" s="12" t="s">
        <v>208</v>
      </c>
      <c r="C16" s="147">
        <f>C15*C12</f>
        <v>5920000</v>
      </c>
      <c r="D16" s="148" t="s">
        <v>209</v>
      </c>
      <c r="E16" s="139"/>
    </row>
    <row r="17" spans="1:5" ht="15.75" customHeight="1" x14ac:dyDescent="0.25">
      <c r="A17" s="134">
        <v>6</v>
      </c>
      <c r="B17" s="12" t="s">
        <v>210</v>
      </c>
      <c r="C17" s="147">
        <f>C16*12%</f>
        <v>710400</v>
      </c>
      <c r="D17" s="148" t="s">
        <v>211</v>
      </c>
      <c r="E17" s="48" t="s">
        <v>212</v>
      </c>
    </row>
    <row r="18" spans="1:5" ht="15.75" customHeight="1" x14ac:dyDescent="0.25">
      <c r="A18" s="134">
        <v>7</v>
      </c>
      <c r="B18" s="12" t="s">
        <v>213</v>
      </c>
      <c r="C18" s="147">
        <f>C12*(C13*4+C14*8)/12*17%</f>
        <v>491458.66666666674</v>
      </c>
      <c r="D18" s="148" t="s">
        <v>214</v>
      </c>
      <c r="E18" s="328" t="s">
        <v>215</v>
      </c>
    </row>
    <row r="19" spans="1:5" ht="15.75" customHeight="1" x14ac:dyDescent="0.25">
      <c r="A19" s="134">
        <v>8</v>
      </c>
      <c r="B19" s="12" t="s">
        <v>186</v>
      </c>
      <c r="C19" s="147">
        <f>C12*(C13*4+C14*8)/12*3%</f>
        <v>86728</v>
      </c>
      <c r="D19" s="148" t="s">
        <v>216</v>
      </c>
      <c r="E19" s="284"/>
    </row>
    <row r="20" spans="1:5" ht="15.75" customHeight="1" x14ac:dyDescent="0.25">
      <c r="A20" s="134">
        <v>9</v>
      </c>
      <c r="B20" s="12" t="s">
        <v>187</v>
      </c>
      <c r="C20" s="147">
        <f>C12*(C13*4+C14*8)/12*1%</f>
        <v>28909.333333333336</v>
      </c>
      <c r="D20" s="148" t="s">
        <v>217</v>
      </c>
      <c r="E20" s="285"/>
    </row>
    <row r="21" spans="1:5" ht="30" customHeight="1" x14ac:dyDescent="0.25">
      <c r="A21" s="134">
        <v>10</v>
      </c>
      <c r="B21" s="12" t="s">
        <v>189</v>
      </c>
      <c r="C21" s="147">
        <f>C12*(C13*4+C14*8)/12*2%</f>
        <v>57818.666666666672</v>
      </c>
      <c r="D21" s="148" t="s">
        <v>218</v>
      </c>
      <c r="E21" s="48" t="s">
        <v>219</v>
      </c>
    </row>
    <row r="22" spans="1:5" ht="15.75" customHeight="1" x14ac:dyDescent="0.25">
      <c r="A22" s="134">
        <v>11</v>
      </c>
      <c r="B22" s="12" t="s">
        <v>190</v>
      </c>
      <c r="C22" s="147">
        <f>(620000*4+680000*8)/12</f>
        <v>660000</v>
      </c>
      <c r="D22" s="140" t="s">
        <v>220</v>
      </c>
      <c r="E22" s="139"/>
    </row>
    <row r="23" spans="1:5" ht="15.75" customHeight="1" x14ac:dyDescent="0.25">
      <c r="A23" s="134">
        <v>12</v>
      </c>
      <c r="B23" s="139" t="s">
        <v>221</v>
      </c>
      <c r="C23" s="147">
        <f>ROUND(2000000/12,-3)</f>
        <v>167000</v>
      </c>
      <c r="D23" s="134" t="s">
        <v>222</v>
      </c>
      <c r="E23" s="139"/>
    </row>
    <row r="24" spans="1:5" ht="15.75" customHeight="1" x14ac:dyDescent="0.25">
      <c r="A24" s="324" t="s">
        <v>223</v>
      </c>
      <c r="B24" s="281"/>
      <c r="C24" s="281"/>
      <c r="D24" s="281"/>
      <c r="E24" s="281"/>
    </row>
    <row r="25" spans="1:5" ht="15.75" customHeight="1" x14ac:dyDescent="0.25">
      <c r="A25" s="149" t="s">
        <v>224</v>
      </c>
      <c r="B25" s="325" t="s">
        <v>225</v>
      </c>
      <c r="C25" s="322"/>
      <c r="D25" s="322"/>
      <c r="E25" s="323"/>
    </row>
    <row r="26" spans="1:5" ht="15.75" customHeight="1" x14ac:dyDescent="0.25">
      <c r="A26" s="139" t="s">
        <v>226</v>
      </c>
      <c r="B26" s="326" t="s">
        <v>227</v>
      </c>
      <c r="C26" s="322"/>
      <c r="D26" s="322"/>
      <c r="E26" s="323"/>
    </row>
    <row r="27" spans="1:5" ht="15.75" customHeight="1" x14ac:dyDescent="0.25">
      <c r="A27" s="150" t="s">
        <v>228</v>
      </c>
      <c r="B27" s="331" t="s">
        <v>229</v>
      </c>
      <c r="C27" s="322"/>
      <c r="D27" s="322"/>
      <c r="E27" s="323"/>
    </row>
    <row r="28" spans="1:5" ht="15.75" customHeight="1" x14ac:dyDescent="0.25">
      <c r="A28" s="139" t="s">
        <v>230</v>
      </c>
      <c r="B28" s="332" t="s">
        <v>231</v>
      </c>
      <c r="C28" s="322"/>
      <c r="D28" s="322"/>
      <c r="E28" s="323"/>
    </row>
    <row r="29" spans="1:5" ht="15.75" customHeight="1" x14ac:dyDescent="0.25">
      <c r="A29" s="151" t="s">
        <v>232</v>
      </c>
      <c r="B29" s="329" t="s">
        <v>233</v>
      </c>
      <c r="C29" s="322"/>
      <c r="D29" s="322"/>
      <c r="E29" s="323"/>
    </row>
    <row r="30" spans="1:5" ht="15.75" customHeight="1" x14ac:dyDescent="0.25">
      <c r="A30" s="139" t="s">
        <v>234</v>
      </c>
      <c r="B30" s="333" t="s">
        <v>235</v>
      </c>
      <c r="C30" s="322"/>
      <c r="D30" s="322"/>
      <c r="E30" s="323"/>
    </row>
    <row r="31" spans="1:5" ht="15.75" customHeight="1" x14ac:dyDescent="0.25">
      <c r="A31" s="150" t="s">
        <v>236</v>
      </c>
      <c r="B31" s="321" t="s">
        <v>237</v>
      </c>
      <c r="C31" s="322"/>
      <c r="D31" s="322"/>
      <c r="E31" s="323"/>
    </row>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sheetData>
  <mergeCells count="12">
    <mergeCell ref="B31:E31"/>
    <mergeCell ref="A24:E24"/>
    <mergeCell ref="B25:E25"/>
    <mergeCell ref="B26:E26"/>
    <mergeCell ref="A4:E4"/>
    <mergeCell ref="E18:E20"/>
    <mergeCell ref="B29:E29"/>
    <mergeCell ref="A5:E5"/>
    <mergeCell ref="C7:D7"/>
    <mergeCell ref="B27:E27"/>
    <mergeCell ref="B28:E28"/>
    <mergeCell ref="B30:E30"/>
  </mergeCell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TongHopDuToan</vt:lpstr>
      <vt:lpstr>3.Tổng hợp chi phí phần mềm</vt:lpstr>
      <vt:lpstr>G.Giá trị phần mềm</vt:lpstr>
      <vt:lpstr>USE-CASE</vt:lpstr>
      <vt:lpstr>TBF.Điểm USE-CASE</vt:lpstr>
      <vt:lpstr>TAW.Điểm các tác nhân (actors)</vt:lpstr>
      <vt:lpstr>TCF.Hệ số phức tạp KT-CN</vt:lpstr>
      <vt:lpstr>EFW.Hệ số tác động môi trường</vt:lpstr>
      <vt:lpstr>Bảng lương nhân công</vt:lpstr>
      <vt:lpstr>CHI PHÍ NHÂN CÔNG</vt:lpstr>
      <vt:lpstr>CHI PHI NHAN CONG THEO VNPT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Tổng dự toán PM QL Cáp quang</dc:title>
  <dc:subject>Hệ thống phần mềm Quản lý cáp quang</dc:subject>
  <dc:creator>Thu Thảo - TTCNTT - VNPT.HCM</dc:creator>
  <cp:lastModifiedBy>Lương Công Trung</cp:lastModifiedBy>
  <cp:lastPrinted>2015-06-02T06:51:02Z</cp:lastPrinted>
  <dcterms:created xsi:type="dcterms:W3CDTF">2012-09-06T08:19:49Z</dcterms:created>
  <dcterms:modified xsi:type="dcterms:W3CDTF">2021-08-30T08:30:58Z</dcterms:modified>
</cp:coreProperties>
</file>