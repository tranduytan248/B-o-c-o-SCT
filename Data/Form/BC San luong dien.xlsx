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BC năm 2025" sheetId="3" r:id="rId1"/>
    <sheet name="BC 15 hàng tháng" sheetId="4" r:id="rId2"/>
    <sheet name="BC hết tháng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8" i="4" l="1"/>
  <c r="U9" i="4"/>
  <c r="U10" i="4"/>
  <c r="U11" i="4"/>
  <c r="U12" i="4"/>
  <c r="U13" i="4"/>
  <c r="U14" i="4"/>
  <c r="U15" i="4"/>
  <c r="U17" i="4"/>
  <c r="U18" i="4"/>
  <c r="U7" i="4"/>
  <c r="T19" i="3"/>
  <c r="T8" i="3"/>
  <c r="T9" i="3"/>
  <c r="T10" i="3"/>
  <c r="T11" i="3"/>
  <c r="T12" i="3"/>
  <c r="T13" i="3"/>
  <c r="T14" i="3"/>
  <c r="T15" i="3"/>
  <c r="T16" i="3"/>
  <c r="T17" i="3"/>
  <c r="T18" i="3"/>
  <c r="T7" i="3"/>
  <c r="S19" i="3"/>
  <c r="S8" i="3"/>
  <c r="S9" i="3"/>
  <c r="S10" i="3"/>
  <c r="S11" i="3"/>
  <c r="S12" i="3"/>
  <c r="S13" i="3"/>
  <c r="S14" i="3"/>
  <c r="S15" i="3"/>
  <c r="S16" i="3"/>
  <c r="S17" i="3"/>
  <c r="S18" i="3"/>
  <c r="S7" i="3"/>
  <c r="T17" i="4"/>
  <c r="F8" i="2"/>
  <c r="F9" i="2"/>
  <c r="F10" i="2"/>
  <c r="F11" i="2"/>
  <c r="F12" i="2"/>
  <c r="F13" i="2"/>
  <c r="F14" i="2"/>
  <c r="F15" i="2"/>
  <c r="F16" i="2"/>
  <c r="F17" i="2"/>
  <c r="F18" i="2"/>
  <c r="F7" i="2"/>
  <c r="F8" i="4"/>
  <c r="F9" i="4"/>
  <c r="F10" i="4"/>
  <c r="F11" i="4"/>
  <c r="F12" i="4"/>
  <c r="F13" i="4"/>
  <c r="F14" i="4"/>
  <c r="F15" i="4"/>
  <c r="F16" i="4"/>
  <c r="F17" i="4"/>
  <c r="F18" i="4"/>
  <c r="F7" i="4"/>
  <c r="F19" i="3"/>
  <c r="G8" i="2"/>
  <c r="G9" i="2"/>
  <c r="G10" i="2"/>
  <c r="G11" i="2"/>
  <c r="G12" i="2"/>
  <c r="G13" i="2"/>
  <c r="G14" i="2"/>
  <c r="G15" i="2"/>
  <c r="G16" i="2"/>
  <c r="G17" i="2"/>
  <c r="G18" i="2"/>
  <c r="G7" i="2"/>
  <c r="R88" i="3" l="1"/>
  <c r="R82" i="3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T87" i="4"/>
  <c r="T86" i="4"/>
  <c r="T85" i="4"/>
  <c r="T84" i="4"/>
  <c r="T83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E19" i="4"/>
  <c r="T18" i="4"/>
  <c r="T16" i="4"/>
  <c r="U16" i="4" s="1"/>
  <c r="T15" i="4"/>
  <c r="T14" i="4"/>
  <c r="T13" i="4"/>
  <c r="T12" i="4"/>
  <c r="T11" i="4"/>
  <c r="T10" i="4"/>
  <c r="T9" i="4"/>
  <c r="T8" i="4"/>
  <c r="T7" i="4"/>
  <c r="T6" i="4"/>
  <c r="S88" i="2"/>
  <c r="S82" i="2"/>
  <c r="T7" i="2"/>
  <c r="T8" i="2"/>
  <c r="T9" i="2"/>
  <c r="T10" i="2"/>
  <c r="T11" i="2"/>
  <c r="T12" i="2"/>
  <c r="T13" i="2"/>
  <c r="T14" i="2"/>
  <c r="T15" i="2"/>
  <c r="T16" i="2"/>
  <c r="T17" i="2"/>
  <c r="T18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3" i="2"/>
  <c r="T84" i="2"/>
  <c r="T85" i="2"/>
  <c r="T86" i="2"/>
  <c r="T87" i="2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R19" i="3"/>
  <c r="Q19" i="3"/>
  <c r="P19" i="3"/>
  <c r="O19" i="3"/>
  <c r="N19" i="3"/>
  <c r="M19" i="3"/>
  <c r="L19" i="3"/>
  <c r="K19" i="3"/>
  <c r="J19" i="3"/>
  <c r="I19" i="3"/>
  <c r="H19" i="3"/>
  <c r="G19" i="3"/>
  <c r="E19" i="3"/>
  <c r="R88" i="2"/>
  <c r="Q88" i="2"/>
  <c r="P88" i="2"/>
  <c r="O88" i="2"/>
  <c r="N88" i="2"/>
  <c r="M88" i="2"/>
  <c r="L88" i="2"/>
  <c r="K88" i="2"/>
  <c r="J88" i="2"/>
  <c r="I88" i="2"/>
  <c r="H88" i="2"/>
  <c r="T88" i="2" s="1"/>
  <c r="G88" i="2"/>
  <c r="F88" i="2"/>
  <c r="E88" i="2"/>
  <c r="R82" i="2"/>
  <c r="Q82" i="2"/>
  <c r="P82" i="2"/>
  <c r="O82" i="2"/>
  <c r="N82" i="2"/>
  <c r="M82" i="2"/>
  <c r="L82" i="2"/>
  <c r="K82" i="2"/>
  <c r="J82" i="2"/>
  <c r="I82" i="2"/>
  <c r="H82" i="2"/>
  <c r="T82" i="2" s="1"/>
  <c r="G82" i="2"/>
  <c r="F82" i="2"/>
  <c r="E82" i="2"/>
  <c r="S66" i="2"/>
  <c r="R66" i="2"/>
  <c r="Q66" i="2"/>
  <c r="P66" i="2"/>
  <c r="O66" i="2"/>
  <c r="N66" i="2"/>
  <c r="M66" i="2"/>
  <c r="L66" i="2"/>
  <c r="K66" i="2"/>
  <c r="J66" i="2"/>
  <c r="I66" i="2"/>
  <c r="H66" i="2"/>
  <c r="T66" i="2" s="1"/>
  <c r="G66" i="2"/>
  <c r="F66" i="2"/>
  <c r="E66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E19" i="2"/>
  <c r="T19" i="2" l="1"/>
  <c r="T82" i="4"/>
  <c r="T66" i="4"/>
  <c r="T88" i="4"/>
  <c r="F19" i="4"/>
  <c r="F19" i="2"/>
  <c r="T19" i="4"/>
  <c r="U19" i="4" s="1"/>
</calcChain>
</file>

<file path=xl/sharedStrings.xml><?xml version="1.0" encoding="utf-8"?>
<sst xmlns="http://schemas.openxmlformats.org/spreadsheetml/2006/main" count="782" uniqueCount="228">
  <si>
    <t>STT</t>
  </si>
  <si>
    <t>Tên nhà máy điện</t>
  </si>
  <si>
    <t>Tên đơn vị</t>
  </si>
  <si>
    <t>Địa chỉ</t>
  </si>
  <si>
    <t>Công suất</t>
  </si>
  <si>
    <t>I</t>
  </si>
  <si>
    <t>Nhà máy điện gió 7A</t>
  </si>
  <si>
    <t>Công ty TNHH MTV Điện gió Hà Đô Thuận Nam</t>
  </si>
  <si>
    <t>Nhà máy điện gió BIM 4</t>
  </si>
  <si>
    <t>Công ty cổ phần Điện gió BIM</t>
  </si>
  <si>
    <t>Nhà máy điện gió Hanbaram lô 1</t>
  </si>
  <si>
    <t>Công ty cổ phần Điện gió Hanbaram</t>
  </si>
  <si>
    <t>Nhà máy điện gió Hanbaram lô 2</t>
  </si>
  <si>
    <t>Nhà máy điện gió Lợi Hải 2</t>
  </si>
  <si>
    <t>Công ty cổ phần Phong điện Thuận Bình</t>
  </si>
  <si>
    <t>Nhà máy điện gió Phước Hữu – Duyên Hải 1</t>
  </si>
  <si>
    <t>Công ty TNHH Điện gió Phước Hữu – Duyên Hải 1</t>
  </si>
  <si>
    <t>Nhà máy điện gió Phước Minh</t>
  </si>
  <si>
    <t>Công ty cổ phần Điện gió Adani Phước Minh</t>
  </si>
  <si>
    <t>Nhà máy điện gió số 5 Ninh Thuận</t>
  </si>
  <si>
    <t>Công ty cổ phần Điện gió Phước Hữu</t>
  </si>
  <si>
    <t>Nhà máy điện gió Trung Nam</t>
  </si>
  <si>
    <t>Công ty cổ phần Điện gió Trung Nam</t>
  </si>
  <si>
    <t>Nhà máy điện gió Đầm Nại</t>
  </si>
  <si>
    <t>Công ty cổ phần Điện gió Đầm Nại</t>
  </si>
  <si>
    <t>Nhà máy điện gió Mũi Dinh</t>
  </si>
  <si>
    <t>Công ty TNHH Điện gió Mũi Dinh</t>
  </si>
  <si>
    <t>Nhà máy điện gió Win Energy Chính Thắng</t>
  </si>
  <si>
    <t>Công ty TNHH Điện gió Chính Thắng</t>
  </si>
  <si>
    <t>II</t>
  </si>
  <si>
    <t>Nhà máy điện mặt trời Adani Phước Minh</t>
  </si>
  <si>
    <t>Công ty cổ phần Điện mặt trời Adani Phước Minh</t>
  </si>
  <si>
    <t>Nhà máy điện mặt trời AMI Khánh Hòa</t>
  </si>
  <si>
    <t>Công ty cổ phần năng lượng AMI Khánh Hòa</t>
  </si>
  <si>
    <t>Nhà máy điện mặt trời BP Solar 1</t>
  </si>
  <si>
    <t>Công ty cổ phần BP Solar</t>
  </si>
  <si>
    <t>Nhà máy điện mặt trời Cam Lâm VN</t>
  </si>
  <si>
    <t>Công ty cổ phần Cam Lâm Solar</t>
  </si>
  <si>
    <t>Nhà máy điện mặt trời CMX Renewable Energy Việt Nam</t>
  </si>
  <si>
    <t>Công ty cổ phần Điện mặt trời CMX RE Sunseap Việt Nam</t>
  </si>
  <si>
    <t>Nhà máy điện mặt trời Điện lực miền Trung</t>
  </si>
  <si>
    <t>Công ty Dịch vụ Điện lực miền Trung</t>
  </si>
  <si>
    <t>Nhà máy điện mặt trời Gelex Ninh Thuận</t>
  </si>
  <si>
    <t>Công ty TNHH Năng lượng Gelex Ninh Thuận</t>
  </si>
  <si>
    <t>Nhà máy điện mặt trời Hồ Bầu Ngứ</t>
  </si>
  <si>
    <t>Công ty cổ phần Đầu tư xây dựng và Phát triển Trường Thành</t>
  </si>
  <si>
    <t>Nhà máy điện mặt trời Hồ Núi Một</t>
  </si>
  <si>
    <t>Nhà máy điện mặt trời KN Cam Lâm</t>
  </si>
  <si>
    <t>Công ty cổ phần Điện mặt trời KN Cam Lâm</t>
  </si>
  <si>
    <t>Nhà máy điện mặt trời KN Vạn Ninh</t>
  </si>
  <si>
    <t>Công ty TNHH Đầu tư và Phát triển Điện mặt trời KN Vạn Ninh</t>
  </si>
  <si>
    <t>Nhà máy điện mặt trời Long Sơn</t>
  </si>
  <si>
    <t>Công ty cổ phần Năng lượng Long Sơn</t>
  </si>
  <si>
    <t>Nhà máy điện mặt trời Mỹ Sơn 1</t>
  </si>
  <si>
    <t>Công ty cổ phần Điện mặt trời Mỹ Sơn 1</t>
  </si>
  <si>
    <t>Nhà máy điện mặt trời Mỹ Sơn 2</t>
  </si>
  <si>
    <t>Công ty cổ phần Điện mặt trời Mỹ Sơn 2</t>
  </si>
  <si>
    <t>Nhà máy điện mặt trời Nhị Hà</t>
  </si>
  <si>
    <t>Công ty TNHH MTV Solar Power Ninh Thuận</t>
  </si>
  <si>
    <t>Nhà máy điện mặt trời Ninh Phước  6.1</t>
  </si>
  <si>
    <t>Công ty cổ phần Năng lượng tái tạo &amp; Nông nghiệp Ninh Thuận</t>
  </si>
  <si>
    <t>Nhà máy điện mặt trời Ninh Phước 6.2</t>
  </si>
  <si>
    <t>Nhà máy điện mặt trời Phước Hữu – Điện lực 1</t>
  </si>
  <si>
    <t>Công ty cổ phần Đầu tư điện Phước Hữu</t>
  </si>
  <si>
    <t>Nhà máy điện mặt trời Phước Hữu</t>
  </si>
  <si>
    <t>Công ty cổ phần Green Energy Phước Hữu</t>
  </si>
  <si>
    <t>Nhà máy điện mặt trời Phước Ninh</t>
  </si>
  <si>
    <t>Công ty cổ phần Công nghiệp Năng lượng Ninh Thuận</t>
  </si>
  <si>
    <t>Nhà máy điện mặt trời Thiên Tân 1.2</t>
  </si>
  <si>
    <t>Nhà máy điện mặt trời Thiên Tân 1.3</t>
  </si>
  <si>
    <t>Nhà máy điện mặt trời Thiên Tân 1.4</t>
  </si>
  <si>
    <t>Công ty TNHH Đầu tư và Phát triển Năng lượng Ninh Thuận</t>
  </si>
  <si>
    <t>Nhà máy điện mặt trời Sông Giang</t>
  </si>
  <si>
    <t>Công ty cổ phần Điện mặt trời Sông Giang</t>
  </si>
  <si>
    <t>Nhà máy điện mặt trời SP Infra 1</t>
  </si>
  <si>
    <t>Công ty TNHH Năng lượng Surya Prakash Việt Nam</t>
  </si>
  <si>
    <t>Nhà máy điện mặt trời Thuận Nam 19</t>
  </si>
  <si>
    <t>Công ty TNHH Điện mặt trời Thuận Nam 19</t>
  </si>
  <si>
    <t>Nhà máy điện mặt trời Thuận Nam Đức Long</t>
  </si>
  <si>
    <t>Công ty cổ phần Điện mặt trời DLG Ninh Thuận</t>
  </si>
  <si>
    <t>Nhà máy điện mặt trời Trung Nam</t>
  </si>
  <si>
    <t>Công ty cổ phần Điện mặt trời Trung Nam</t>
  </si>
  <si>
    <t>Nhà máy điện mặt trời Trung Sơn</t>
  </si>
  <si>
    <t>Công ty TNHH Phát triển Năng lượng Trung Sơn</t>
  </si>
  <si>
    <t>Nhà máy điện mặt trời Tuấn Ân</t>
  </si>
  <si>
    <t>Công ty cổ phần Điện mặt trời Tuấn Ân</t>
  </si>
  <si>
    <t>Nhà máy điện mặt trời Xuân Thiện Thuận Bắc giai đoạn 1</t>
  </si>
  <si>
    <t>Công ty cổ phần Xuân Thiện Ninh Thuận</t>
  </si>
  <si>
    <t>Nhà máy điện mặt trời Xuân Thiện Thuận Bắc giai đoạn 2</t>
  </si>
  <si>
    <t>Công ty cổ phần Xuân Thiện Thuận Bắc</t>
  </si>
  <si>
    <t>Nhà máy điện mặt trời Trung Nam – Thuận Nam</t>
  </si>
  <si>
    <t>Công ty TNHH Điện mặt trời Trung Nam Thuận Nam</t>
  </si>
  <si>
    <t>Nhà máy điện mặt trời Phước Thái 1</t>
  </si>
  <si>
    <t>Tập đoàn Điện lực Việt Nam</t>
  </si>
  <si>
    <t>Nhà máy điện mặt trời Phước Thái 2</t>
  </si>
  <si>
    <t>Nhà máy điện mặt trời Phước Thái 3</t>
  </si>
  <si>
    <t>Nhà máy điện mặt trời Mỹ Sơn – Hoàn Lộc Việt</t>
  </si>
  <si>
    <t>Công ty cổ phần Điện mặt trời Mỹ Sơn – Hoàn Lộc Việt</t>
  </si>
  <si>
    <t>Nhà máy điện mặt trời BIM</t>
  </si>
  <si>
    <t>Công ty cổ phần Năng lượng BIM</t>
  </si>
  <si>
    <t>Nhà máy điện mặt trời BIM 2</t>
  </si>
  <si>
    <t>Công ty cổ phần Năng lượng tái tạo BIM</t>
  </si>
  <si>
    <t>Nhà máy điện mặt trời BIM 3</t>
  </si>
  <si>
    <t>Nhà máy điện mặt trời Thuận Nam 12</t>
  </si>
  <si>
    <t>Công ty cổ phần Điện mặt trời Thành Vinh</t>
  </si>
  <si>
    <t>Nhà máy điện mặt trời Hacom Solar</t>
  </si>
  <si>
    <t>Công ty cổ phần Năng lượng Hacom</t>
  </si>
  <si>
    <t>Nhà máy điện mặt trời Solar Farm Nhơn Hải</t>
  </si>
  <si>
    <t>Công ty CP Đầu tư năng lượng tái tạo Licogi 16 Ninh Thuận</t>
  </si>
  <si>
    <t>Nhà máy điện mặt trời Bầu Zôn</t>
  </si>
  <si>
    <t>Công ty TNHH Năng lượng mặt trời TT.Sunglim</t>
  </si>
  <si>
    <t>Nhà máy điện mặt trời Sinenergy Ninh Thuận 1</t>
  </si>
  <si>
    <t>Công ty TNHH Năng lượng Sinenergy Ninh Thuận</t>
  </si>
  <si>
    <t>III</t>
  </si>
  <si>
    <t>NHÀ MÁY NHIỆT ĐIỆN (01 nhà máy)</t>
  </si>
  <si>
    <t>Nhà máy nhiệt điện BOT Vân Phong 1</t>
  </si>
  <si>
    <t>Công ty TNHH Điện lực Vân Phòng</t>
  </si>
  <si>
    <t>Tổ dân phố Ninh Yển, phường Đông Ninh Hòa, tỉnh Khánh Hòa</t>
  </si>
  <si>
    <t>IV</t>
  </si>
  <si>
    <t>NHÀ MÁY ĐIỆN SINH KHỐI (02 nhà máy)</t>
  </si>
  <si>
    <t>Nhà máy Nhiệt điện Bã Mía</t>
  </si>
  <si>
    <t>Công ty TNHH MTV Nhiệt Điện Ninh Hòa</t>
  </si>
  <si>
    <t>Thôn Phước Lâm, Xã Tân Định, tỉnh Khánh Hòa</t>
  </si>
  <si>
    <t>Nhà máy đường Việt Nam</t>
  </si>
  <si>
    <t>Công ty cổ phần Đường Việt Nam</t>
  </si>
  <si>
    <t>Thôn Thủy Xưởng, xã Suối Hiệp, tỉnh Khánh Hòa</t>
  </si>
  <si>
    <t>NHÀ MÁY THỦY ĐIỆN (14 nhà máy)</t>
  </si>
  <si>
    <t>V</t>
  </si>
  <si>
    <t>Nhà máy thủy điện Đa Nhim</t>
  </si>
  <si>
    <t>Công ty cổ phần Thủy điện Đa Nhim – Hàm Thuận – Đa Mi</t>
  </si>
  <si>
    <t>Xã Lâm Sơn, tỉnh Khánh Hòa</t>
  </si>
  <si>
    <t>Nhà máy thủy điện Sông Pha</t>
  </si>
  <si>
    <t>Nhà máy thủy điện Đa Nhim mở rộng</t>
  </si>
  <si>
    <t>Nhà máy thủy điện Hạ Sông Pha 1</t>
  </si>
  <si>
    <t>Công ty cổ phần thủy điện Hạ Sông Pha</t>
  </si>
  <si>
    <t>Thôn Lâm Hà, xã Lâm Sơn, tỉnh Khánh Hòa</t>
  </si>
  <si>
    <t>Nhà máy thủy điện Hạ Sông Pha 2</t>
  </si>
  <si>
    <t>Nhà máy thủy điện Mỹ Sơn</t>
  </si>
  <si>
    <t>Công ty cổ phần Thủy điện Mỹ Sơn</t>
  </si>
  <si>
    <t>Thôn Tân Mỹ, xã Mỹ Sơn, tỉnh Khánh Hòa</t>
  </si>
  <si>
    <t>Nhà máy thủy điện Sông Giang 2</t>
  </si>
  <si>
    <t>Công ty cổ phần Khai thác thủy điện Sông Giang</t>
  </si>
  <si>
    <t>Tầng 9, tòa nhà VNPT, 50 Lê Thánh Tôn, phường Nha Trang tỉnh Khánh Hòa</t>
  </si>
  <si>
    <t>Nhà máy thủy điện Tân Mỹ 2</t>
  </si>
  <si>
    <t>Công ty cổ phần đầu tư Vinacco</t>
  </si>
  <si>
    <t>Tổ 3, khu phố 5, xã Ninh Sơn, tỉnh Khánh Hòa</t>
  </si>
  <si>
    <t>Nhà máy thủy điện Thượng Sông Ông 1</t>
  </si>
  <si>
    <t>Công ty cổ phần Đầu tư xây dựng Hoàng Sơn Ninh Thuận</t>
  </si>
  <si>
    <t>Thôn Tân Bình, xã Lâm Sơn, tỉnh Khánh Hòa</t>
  </si>
  <si>
    <t>Nhà máy thủy điện Thượng Sông Ông</t>
  </si>
  <si>
    <t>Công ty cổ phần Thủy điện Quảng Sơn</t>
  </si>
  <si>
    <t>Thôn Bắc Sông Ông, xã Ninh Sơn, tỉnh Khánh Hòa.</t>
  </si>
  <si>
    <t>Nhà máy thủy điện Ea Krong Rou</t>
  </si>
  <si>
    <t>Công ty cổ phần Đầu tư và Phát triển miền Trung</t>
  </si>
  <si>
    <t>Xã Tây Ninh Hòa, tỉnh Khánh Hòa</t>
  </si>
  <si>
    <t>Nhà máy thủy điện Sông Chò 2</t>
  </si>
  <si>
    <t>Công ty cổ phần Thủy điện Sông Chò</t>
  </si>
  <si>
    <t>Xã Trung Khánh Vĩnh, tỉnh Khánh Hòa</t>
  </si>
  <si>
    <t>Nhà máy thủy điện Sông Ông</t>
  </si>
  <si>
    <t>Công ty cổ phần Thủy điện Sông Ông</t>
  </si>
  <si>
    <t>Xã Ninh Sơn, tỉnh Khánh Hòa</t>
  </si>
  <si>
    <t>Nhà máy thủy điện Tân Mỹ</t>
  </si>
  <si>
    <t>Công ty cổ phần Thủy điện Tân Mỹ</t>
  </si>
  <si>
    <t>Xã Bắc Ái Tây, tỉnh Khánh Hòa</t>
  </si>
  <si>
    <t>Thôn Quán Thẻ 1, xã Thuận Nam, tỉnh Khánh Hòa</t>
  </si>
  <si>
    <t>Thôn Vĩnh Đông, xã Cam An, tỉnh Khánh Hòa</t>
  </si>
  <si>
    <t>Thôn Thành Đức, xã Phước Hữu, tỉnh Khánh Hòa</t>
  </si>
  <si>
    <t>Thôn Tân An, xã Cam An, tỉnh Khánh Hòa</t>
  </si>
  <si>
    <t>Thôn Tân An, Xã Cam An, tỉnh Khánh Hòa</t>
  </si>
  <si>
    <t>Thôn Sơn Hải, xã Phước Dinh, tỉnh Khánh Hòa</t>
  </si>
  <si>
    <t>Xã Phước Dinh, tỉnh Khánh Hòa</t>
  </si>
  <si>
    <t>Thôn Bầu Ngứ, xã Phước Dinh, tỉnh Khánh Hòa</t>
  </si>
  <si>
    <t>Thôn Xuân Tây, xã Vạn Hưng, tỉnh Khánh Hòa</t>
  </si>
  <si>
    <t>Thôn Đá Bàn, phường Bắc Ninh Hòa, tỉnh Khánh Hòa</t>
  </si>
  <si>
    <t>Thôn Phú Thuận, xã Mỹ Sơn, tỉnh Khánh Hòa</t>
  </si>
  <si>
    <t>Thôn 3, xã Phước Hà, tỉnh Khánh Hòa</t>
  </si>
  <si>
    <t>Thôn Thành Đức, Xã Phước Hữu, tỉnh Khánh Hòa</t>
  </si>
  <si>
    <t>Thôn Hậu Sanh, xã Phước Hữu, tỉnh Khánh Hòa</t>
  </si>
  <si>
    <t>Hồ Sông Biêu, xã Phước Hà, tỉnh Khánh Hòa</t>
  </si>
  <si>
    <t>Thôn Liên Sơn 2, xã Phước Hậu, tỉnh Khánh Hòa</t>
  </si>
  <si>
    <t>Hồ Sông Trâu, thôn Động Thông, xã Công Hải, tỉnh Khánh Hòa</t>
  </si>
  <si>
    <t>Xã Nam Cam Ranh, tỉnh Khánh Hòa</t>
  </si>
  <si>
    <t>Thôn Phước An 1, xã Phước Hậu, tỉnh Khánh Hòa</t>
  </si>
  <si>
    <t>Thôn Ba Tháp, xã Thuận Bắc, tỉnh Khánh Hòa</t>
  </si>
  <si>
    <t>Thôn Vĩnh Bình, xã Cam An, tỉnh Khánh Hòa</t>
  </si>
  <si>
    <t>90B Lê Hồng Phong, phường Nam Nha Trang, tỉnh Khánh Hòa</t>
  </si>
  <si>
    <t>Thôn Mỹ Nhơn, xã Thuận Bắc, tỉnh Khánh Hòa</t>
  </si>
  <si>
    <t>Thôn Quán Thẻ 1, xã Thuận Nam, tỉnh Khanh Hoà</t>
  </si>
  <si>
    <t>Thôn Hoài Trung, xã Phước Thái, tỉnh Khánh Hòa</t>
  </si>
  <si>
    <t>Số 369 đường 21/8, phường Bảo An, tỉnh Khánh Hòa</t>
  </si>
  <si>
    <t>Thôn Tân Bổn, xã Thuận Nam, tỉnh Khánh Hòa</t>
  </si>
  <si>
    <t>Thôn Lạc Tiến, xã Thuận Nam, tỉnh Khánh Hòa</t>
  </si>
  <si>
    <t>Thôn Trà Nô, xã Phước Hà, tỉnh Khánh Hòa</t>
  </si>
  <si>
    <t>Thôn Quán Thẻ 2, xã Thuận Nam, tỉnh Khánh Hòa</t>
  </si>
  <si>
    <t>Thôn Tân Đức, xã Phước Hữu, tỉnh Khánh Hòa</t>
  </si>
  <si>
    <t>Km1535, Quốc lộ 1A, thôn Ấn Đạt, xã Thuận Bắc, tỉnh Khánh Hòa</t>
  </si>
  <si>
    <t>Thôn Ấn Đạt, xã Thuận Bắc, tỉnh Khánh Hòa</t>
  </si>
  <si>
    <t>Thôn Láng Me, xã Ninh Hải, tỉnh Khánh Hòa</t>
  </si>
  <si>
    <t>Thôn Từ Thiện, xã Phước Dinh, tỉnh Khánh Hòa</t>
  </si>
  <si>
    <t>Xã Thuận Nam, tỉnh Khánh Hòa</t>
  </si>
  <si>
    <t>NHÀ MÁY ĐIỆN GIÓ (13 nhà máy)</t>
  </si>
  <si>
    <t>NHÀ MÁY ĐIỆN MẶT TRỜI (45 nhà máy)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</si>
  <si>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</si>
  <si>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</si>
  <si>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</si>
  <si>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</si>
  <si>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</si>
  <si>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</si>
  <si>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</si>
  <si>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</si>
  <si>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</si>
  <si>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</si>
  <si>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</si>
  <si>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</si>
  <si>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Thôn Khánh Phước, xã Vĩnh Hải, tỉnh Khánh Hòa</t>
  </si>
  <si>
    <t>MWp</t>
  </si>
  <si>
    <t>MW</t>
  </si>
  <si>
    <t>TỔNG</t>
  </si>
  <si>
    <t>BÁO CÁO SẢN LƯỢNG ĐIỆN</t>
  </si>
  <si>
    <t>(Kèm theo Công văn số ………/SCT-QLNL ngày ……/ ……/ 2026 của Sở Công Thương)</t>
  </si>
  <si>
    <t>NHÀ MÁY ĐIỆN GIÓ (12 nhà máy)</t>
  </si>
  <si>
    <t>Tổng cộng
(kWh)</t>
  </si>
  <si>
    <t>Tổng cộng
tháng 9</t>
  </si>
  <si>
    <r>
      <t xml:space="preserve">Sản lượng theo tháng năm </t>
    </r>
    <r>
      <rPr>
        <b/>
        <sz val="12"/>
        <color rgb="FFFF0000"/>
        <rFont val="Times New Roman"/>
        <family val="1"/>
      </rPr>
      <t xml:space="preserve">2025 </t>
    </r>
    <r>
      <rPr>
        <b/>
        <sz val="12"/>
        <color theme="1"/>
        <rFont val="Times New Roman"/>
        <family val="1"/>
      </rPr>
      <t>(kWh)</t>
    </r>
  </si>
  <si>
    <r>
      <t xml:space="preserve">Kế hoạch
</t>
    </r>
    <r>
      <rPr>
        <b/>
        <sz val="12"/>
        <color rgb="FFFF0000"/>
        <rFont val="Times New Roman"/>
        <family val="1"/>
      </rPr>
      <t>2026</t>
    </r>
    <r>
      <rPr>
        <b/>
        <sz val="12"/>
        <color theme="1"/>
        <rFont val="Times New Roman"/>
        <family val="1"/>
      </rPr>
      <t xml:space="preserve"> (kWh)</t>
    </r>
  </si>
  <si>
    <r>
      <t xml:space="preserve">Sản lượng theo tháng năm </t>
    </r>
    <r>
      <rPr>
        <b/>
        <sz val="12"/>
        <color rgb="FFFF0000"/>
        <rFont val="Times New Roman"/>
        <family val="1"/>
      </rPr>
      <t>2026</t>
    </r>
    <r>
      <rPr>
        <b/>
        <sz val="12"/>
        <color theme="1"/>
        <rFont val="Times New Roman"/>
        <family val="1"/>
      </rPr>
      <t xml:space="preserve"> (kWh)</t>
    </r>
  </si>
  <si>
    <t>So với
cùng kỳ
(%)</t>
  </si>
  <si>
    <t>Tổng cộng
cả năm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</si>
</sst>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#,##0.000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4" fontId="6" fillId="0" borderId="1" xfId="0" applyNumberFormat="1" applyFont="1" applyBorder="1" applyAlignment="1">
      <alignment horizontal="right"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165" fontId="4" fillId="0" borderId="1" xfId="0" applyNumberFormat="1" applyFont="1" applyBorder="1" applyAlignment="1">
      <alignment horizontal="right" vertical="center" wrapText="1"/>
    </xf>
    <xf numFmtId="164" fontId="5" fillId="2" borderId="1" xfId="0" applyNumberFormat="1" applyFont="1" applyFill="1" applyBorder="1" applyAlignment="1">
      <alignment vertical="center" wrapText="1"/>
    </xf>
    <xf numFmtId="164" fontId="6" fillId="0" borderId="0" xfId="0" applyNumberFormat="1" applyFont="1" applyBorder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10" fontId="6" fillId="0" borderId="1" xfId="0" applyNumberFormat="1" applyFont="1" applyBorder="1" applyAlignment="1">
      <alignment vertical="center" wrapText="1"/>
    </xf>
    <xf numFmtId="10" fontId="4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0" fontId="5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8"/>
  <sheetViews>
    <sheetView topLeftCell="A8" zoomScaleNormal="100" workbookViewId="0">
      <selection activeCell="T1" sqref="A1:T19"/>
    </sheetView>
  </sheetViews>
  <sheetFormatPr defaultRowHeight="18.75" x14ac:dyDescent="0.25"/>
  <cols>
    <col min="1" max="1" width="5.140625" style="1" bestFit="1" customWidth="1"/>
    <col min="2" max="4" width="20.7109375" style="2" customWidth="1"/>
    <col min="5" max="5" width="6.5703125" style="2" bestFit="1" customWidth="1"/>
    <col min="6" max="6" width="8.42578125" style="6" bestFit="1" customWidth="1"/>
    <col min="7" max="10" width="14.28515625" style="2" bestFit="1" customWidth="1"/>
    <col min="11" max="12" width="13.140625" style="2" bestFit="1" customWidth="1"/>
    <col min="13" max="13" width="14.28515625" style="2" bestFit="1" customWidth="1"/>
    <col min="14" max="16" width="13.140625" style="2" bestFit="1" customWidth="1"/>
    <col min="17" max="18" width="14.28515625" style="2" bestFit="1" customWidth="1"/>
    <col min="19" max="20" width="16" style="2" bestFit="1" customWidth="1"/>
    <col min="21" max="16384" width="9.140625" style="2"/>
  </cols>
  <sheetData>
    <row r="1" spans="1:20" ht="18.75" customHeight="1" x14ac:dyDescent="0.25">
      <c r="A1" s="30" t="s">
        <v>218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4"/>
    </row>
    <row r="2" spans="1:20" ht="18.75" customHeight="1" x14ac:dyDescent="0.25">
      <c r="A2" s="31" t="s">
        <v>219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5"/>
    </row>
    <row r="4" spans="1:20" s="1" customFormat="1" ht="27" customHeight="1" x14ac:dyDescent="0.25">
      <c r="A4" s="32" t="s">
        <v>0</v>
      </c>
      <c r="B4" s="32" t="s">
        <v>1</v>
      </c>
      <c r="C4" s="32" t="s">
        <v>2</v>
      </c>
      <c r="D4" s="32" t="s">
        <v>3</v>
      </c>
      <c r="E4" s="32" t="s">
        <v>4</v>
      </c>
      <c r="F4" s="32"/>
      <c r="G4" s="32" t="s">
        <v>223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29" t="s">
        <v>227</v>
      </c>
      <c r="T4" s="29" t="s">
        <v>222</v>
      </c>
    </row>
    <row r="5" spans="1:20" s="1" customFormat="1" ht="27" customHeight="1" x14ac:dyDescent="0.25">
      <c r="A5" s="32"/>
      <c r="B5" s="32"/>
      <c r="C5" s="32"/>
      <c r="D5" s="32"/>
      <c r="E5" s="7" t="s">
        <v>215</v>
      </c>
      <c r="F5" s="7" t="s">
        <v>216</v>
      </c>
      <c r="G5" s="7" t="s">
        <v>202</v>
      </c>
      <c r="H5" s="7" t="s">
        <v>203</v>
      </c>
      <c r="I5" s="7" t="s">
        <v>204</v>
      </c>
      <c r="J5" s="7" t="s">
        <v>205</v>
      </c>
      <c r="K5" s="7" t="s">
        <v>206</v>
      </c>
      <c r="L5" s="7" t="s">
        <v>207</v>
      </c>
      <c r="M5" s="7" t="s">
        <v>208</v>
      </c>
      <c r="N5" s="7" t="s">
        <v>209</v>
      </c>
      <c r="O5" s="7" t="s">
        <v>210</v>
      </c>
      <c r="P5" s="7" t="s">
        <v>211</v>
      </c>
      <c r="Q5" s="7" t="s">
        <v>212</v>
      </c>
      <c r="R5" s="7" t="s">
        <v>213</v>
      </c>
      <c r="S5" s="29"/>
      <c r="T5" s="29"/>
    </row>
    <row r="6" spans="1:20" x14ac:dyDescent="0.25">
      <c r="A6" s="7" t="s">
        <v>5</v>
      </c>
      <c r="B6" s="33" t="s">
        <v>220</v>
      </c>
      <c r="C6" s="33"/>
      <c r="D6" s="33"/>
      <c r="E6" s="8"/>
      <c r="F6" s="9"/>
      <c r="G6" s="8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47.25" x14ac:dyDescent="0.25">
      <c r="A7" s="7">
        <v>1</v>
      </c>
      <c r="B7" s="11" t="s">
        <v>6</v>
      </c>
      <c r="C7" s="11" t="s">
        <v>7</v>
      </c>
      <c r="D7" s="11" t="s">
        <v>164</v>
      </c>
      <c r="E7" s="10"/>
      <c r="F7" s="12">
        <v>50</v>
      </c>
      <c r="G7" s="10">
        <v>15550943</v>
      </c>
      <c r="H7" s="10">
        <v>14216635</v>
      </c>
      <c r="I7" s="10">
        <v>13646714</v>
      </c>
      <c r="J7" s="10">
        <v>8229488</v>
      </c>
      <c r="K7" s="10">
        <v>4630075</v>
      </c>
      <c r="L7" s="10">
        <v>8728843</v>
      </c>
      <c r="M7" s="10">
        <v>13604490</v>
      </c>
      <c r="N7" s="10">
        <v>10058261</v>
      </c>
      <c r="O7" s="10">
        <v>5434699</v>
      </c>
      <c r="P7" s="10">
        <v>3430997</v>
      </c>
      <c r="Q7" s="10">
        <v>10290616</v>
      </c>
      <c r="R7" s="10">
        <v>21984097</v>
      </c>
      <c r="S7" s="10">
        <f>SUM(G7:R7)</f>
        <v>129805858</v>
      </c>
      <c r="T7" s="10">
        <f>SUM(G7:O7)</f>
        <v>94100148</v>
      </c>
    </row>
    <row r="8" spans="1:20" ht="47.25" x14ac:dyDescent="0.25">
      <c r="A8" s="7">
        <v>2</v>
      </c>
      <c r="B8" s="11" t="s">
        <v>8</v>
      </c>
      <c r="C8" s="11" t="s">
        <v>9</v>
      </c>
      <c r="D8" s="11" t="s">
        <v>164</v>
      </c>
      <c r="E8" s="10"/>
      <c r="F8" s="12">
        <v>88</v>
      </c>
      <c r="G8" s="10">
        <v>37567025</v>
      </c>
      <c r="H8" s="10">
        <v>34089733</v>
      </c>
      <c r="I8" s="10">
        <v>29239645</v>
      </c>
      <c r="J8" s="10">
        <v>17878335</v>
      </c>
      <c r="K8" s="10">
        <v>11366298</v>
      </c>
      <c r="L8" s="10">
        <v>21812301</v>
      </c>
      <c r="M8" s="10">
        <v>29034521</v>
      </c>
      <c r="N8" s="10">
        <v>22491306</v>
      </c>
      <c r="O8" s="10">
        <v>12862944</v>
      </c>
      <c r="P8" s="10">
        <v>6968140</v>
      </c>
      <c r="Q8" s="10">
        <v>20179004</v>
      </c>
      <c r="R8" s="10">
        <v>38863577</v>
      </c>
      <c r="S8" s="10">
        <f t="shared" ref="S8:S18" si="0">SUM(G8:R8)</f>
        <v>282352829</v>
      </c>
      <c r="T8" s="10">
        <f t="shared" ref="T8:T19" si="1">SUM(G8:O8)</f>
        <v>216342108</v>
      </c>
    </row>
    <row r="9" spans="1:20" ht="63" x14ac:dyDescent="0.25">
      <c r="A9" s="7">
        <v>3</v>
      </c>
      <c r="B9" s="11" t="s">
        <v>10</v>
      </c>
      <c r="C9" s="11" t="s">
        <v>11</v>
      </c>
      <c r="D9" s="11" t="s">
        <v>195</v>
      </c>
      <c r="E9" s="10"/>
      <c r="F9" s="12">
        <v>48</v>
      </c>
      <c r="G9" s="10">
        <v>25619110</v>
      </c>
      <c r="H9" s="10">
        <v>21839264</v>
      </c>
      <c r="I9" s="10">
        <v>15131625</v>
      </c>
      <c r="J9" s="10">
        <v>10841836</v>
      </c>
      <c r="K9" s="10">
        <v>2865759</v>
      </c>
      <c r="L9" s="10">
        <v>3055499</v>
      </c>
      <c r="M9" s="10">
        <v>5533226</v>
      </c>
      <c r="N9" s="10">
        <v>2982301</v>
      </c>
      <c r="O9" s="10">
        <v>1677771</v>
      </c>
      <c r="P9" s="10">
        <v>6609246</v>
      </c>
      <c r="Q9" s="10">
        <v>11977667</v>
      </c>
      <c r="R9" s="10">
        <v>24805381</v>
      </c>
      <c r="S9" s="10">
        <f t="shared" si="0"/>
        <v>132938685</v>
      </c>
      <c r="T9" s="10">
        <f t="shared" si="1"/>
        <v>89546391</v>
      </c>
    </row>
    <row r="10" spans="1:20" ht="63" x14ac:dyDescent="0.25">
      <c r="A10" s="7">
        <v>4</v>
      </c>
      <c r="B10" s="11" t="s">
        <v>12</v>
      </c>
      <c r="C10" s="11" t="s">
        <v>11</v>
      </c>
      <c r="D10" s="11" t="s">
        <v>195</v>
      </c>
      <c r="E10" s="10"/>
      <c r="F10" s="12">
        <v>69</v>
      </c>
      <c r="G10" s="10">
        <v>32045575</v>
      </c>
      <c r="H10" s="10">
        <v>25828133</v>
      </c>
      <c r="I10" s="10">
        <v>18462770</v>
      </c>
      <c r="J10" s="10">
        <v>13042195</v>
      </c>
      <c r="K10" s="10">
        <v>3800678</v>
      </c>
      <c r="L10" s="10">
        <v>3992728.19</v>
      </c>
      <c r="M10" s="10">
        <v>7939177.8099999996</v>
      </c>
      <c r="N10" s="10">
        <v>3188148.81</v>
      </c>
      <c r="O10" s="10">
        <v>2040617.53</v>
      </c>
      <c r="P10" s="10">
        <v>5810175.9400000004</v>
      </c>
      <c r="Q10" s="10">
        <v>13284800.59</v>
      </c>
      <c r="R10" s="10">
        <v>27500345.809999999</v>
      </c>
      <c r="S10" s="10">
        <f t="shared" si="0"/>
        <v>156935345.68000001</v>
      </c>
      <c r="T10" s="10">
        <f t="shared" si="1"/>
        <v>110340023.34</v>
      </c>
    </row>
    <row r="11" spans="1:20" ht="47.25" x14ac:dyDescent="0.25">
      <c r="A11" s="7">
        <v>5</v>
      </c>
      <c r="B11" s="11" t="s">
        <v>13</v>
      </c>
      <c r="C11" s="11" t="s">
        <v>14</v>
      </c>
      <c r="D11" s="11" t="s">
        <v>196</v>
      </c>
      <c r="E11" s="10"/>
      <c r="F11" s="12">
        <v>28.8</v>
      </c>
      <c r="G11" s="10">
        <v>17933220</v>
      </c>
      <c r="H11" s="10">
        <v>13657459</v>
      </c>
      <c r="I11" s="10">
        <v>11259575</v>
      </c>
      <c r="J11" s="10">
        <v>7655408</v>
      </c>
      <c r="K11" s="10">
        <v>2480254</v>
      </c>
      <c r="L11" s="10">
        <v>2264110</v>
      </c>
      <c r="M11" s="10">
        <v>4154927</v>
      </c>
      <c r="N11" s="10">
        <v>2387564</v>
      </c>
      <c r="O11" s="10">
        <v>1568364</v>
      </c>
      <c r="P11" s="10">
        <v>4680910</v>
      </c>
      <c r="Q11" s="10">
        <v>9297659</v>
      </c>
      <c r="R11" s="10">
        <v>17169816</v>
      </c>
      <c r="S11" s="10">
        <f t="shared" si="0"/>
        <v>94509266</v>
      </c>
      <c r="T11" s="10">
        <f t="shared" si="1"/>
        <v>63360881</v>
      </c>
    </row>
    <row r="12" spans="1:20" ht="47.25" x14ac:dyDescent="0.25">
      <c r="A12" s="7">
        <v>6</v>
      </c>
      <c r="B12" s="11" t="s">
        <v>15</v>
      </c>
      <c r="C12" s="11" t="s">
        <v>16</v>
      </c>
      <c r="D12" s="11" t="s">
        <v>177</v>
      </c>
      <c r="E12" s="10"/>
      <c r="F12" s="12">
        <v>29.7</v>
      </c>
      <c r="G12" s="10">
        <v>8207307.9000000004</v>
      </c>
      <c r="H12" s="10">
        <v>8812008.2699999996</v>
      </c>
      <c r="I12" s="10">
        <v>7787881.2000000002</v>
      </c>
      <c r="J12" s="10">
        <v>3675096.6</v>
      </c>
      <c r="K12" s="10">
        <v>2542358.6</v>
      </c>
      <c r="L12" s="10">
        <v>5081163</v>
      </c>
      <c r="M12" s="10">
        <v>8343371.4000000004</v>
      </c>
      <c r="N12" s="10">
        <v>5430203</v>
      </c>
      <c r="O12" s="10">
        <v>2472981.4</v>
      </c>
      <c r="P12" s="10">
        <v>1576020.2</v>
      </c>
      <c r="Q12" s="10">
        <v>5913342.4000000004</v>
      </c>
      <c r="R12" s="10">
        <v>10702571.1</v>
      </c>
      <c r="S12" s="10">
        <f t="shared" si="0"/>
        <v>70544305.070000008</v>
      </c>
      <c r="T12" s="10">
        <f t="shared" si="1"/>
        <v>52352371.370000005</v>
      </c>
    </row>
    <row r="13" spans="1:20" ht="47.25" x14ac:dyDescent="0.25">
      <c r="A13" s="7">
        <v>7</v>
      </c>
      <c r="B13" s="11" t="s">
        <v>17</v>
      </c>
      <c r="C13" s="11" t="s">
        <v>18</v>
      </c>
      <c r="D13" s="11" t="s">
        <v>164</v>
      </c>
      <c r="E13" s="10"/>
      <c r="F13" s="12">
        <v>27.2</v>
      </c>
      <c r="G13" s="10">
        <v>8433537</v>
      </c>
      <c r="H13" s="10">
        <v>8356145</v>
      </c>
      <c r="I13" s="10">
        <v>7716768</v>
      </c>
      <c r="J13" s="10">
        <v>4478885</v>
      </c>
      <c r="K13" s="10">
        <v>2869997</v>
      </c>
      <c r="L13" s="10">
        <v>5224040</v>
      </c>
      <c r="M13" s="10">
        <v>7440560</v>
      </c>
      <c r="N13" s="10">
        <v>5198151</v>
      </c>
      <c r="O13" s="10">
        <v>2644104</v>
      </c>
      <c r="P13" s="10">
        <v>1190772</v>
      </c>
      <c r="Q13" s="10">
        <v>5104136</v>
      </c>
      <c r="R13" s="10">
        <v>11248771</v>
      </c>
      <c r="S13" s="10">
        <f t="shared" si="0"/>
        <v>69905866</v>
      </c>
      <c r="T13" s="10">
        <f t="shared" si="1"/>
        <v>52362187</v>
      </c>
    </row>
    <row r="14" spans="1:20" ht="47.25" x14ac:dyDescent="0.25">
      <c r="A14" s="7">
        <v>8</v>
      </c>
      <c r="B14" s="11" t="s">
        <v>19</v>
      </c>
      <c r="C14" s="11" t="s">
        <v>20</v>
      </c>
      <c r="D14" s="11" t="s">
        <v>177</v>
      </c>
      <c r="E14" s="10"/>
      <c r="F14" s="12">
        <v>46.2</v>
      </c>
      <c r="G14" s="10">
        <v>8121276</v>
      </c>
      <c r="H14" s="10">
        <v>9082485</v>
      </c>
      <c r="I14" s="10">
        <v>7871663</v>
      </c>
      <c r="J14" s="10">
        <v>3524900</v>
      </c>
      <c r="K14" s="10">
        <v>2420954</v>
      </c>
      <c r="L14" s="10">
        <v>4853437</v>
      </c>
      <c r="M14" s="10">
        <v>9097756</v>
      </c>
      <c r="N14" s="10">
        <v>5966580</v>
      </c>
      <c r="O14" s="10">
        <v>2684420</v>
      </c>
      <c r="P14" s="10">
        <v>1597145</v>
      </c>
      <c r="Q14" s="10">
        <v>5490858</v>
      </c>
      <c r="R14" s="10">
        <v>11384561</v>
      </c>
      <c r="S14" s="10">
        <f t="shared" si="0"/>
        <v>72096035</v>
      </c>
      <c r="T14" s="10">
        <f t="shared" si="1"/>
        <v>53623471</v>
      </c>
    </row>
    <row r="15" spans="1:20" ht="47.25" x14ac:dyDescent="0.25">
      <c r="A15" s="7">
        <v>9</v>
      </c>
      <c r="B15" s="11" t="s">
        <v>21</v>
      </c>
      <c r="C15" s="11" t="s">
        <v>22</v>
      </c>
      <c r="D15" s="11" t="s">
        <v>183</v>
      </c>
      <c r="E15" s="10"/>
      <c r="F15" s="13">
        <v>151.94999999999999</v>
      </c>
      <c r="G15" s="10">
        <v>72858703</v>
      </c>
      <c r="H15" s="10">
        <v>52179554</v>
      </c>
      <c r="I15" s="10">
        <v>34590000</v>
      </c>
      <c r="J15" s="10">
        <v>21543157</v>
      </c>
      <c r="K15" s="10">
        <v>5470405</v>
      </c>
      <c r="L15" s="10">
        <v>5182714</v>
      </c>
      <c r="M15" s="10">
        <v>9943570</v>
      </c>
      <c r="N15" s="10">
        <v>4170416</v>
      </c>
      <c r="O15" s="10">
        <v>3139833</v>
      </c>
      <c r="P15" s="10">
        <v>9365879</v>
      </c>
      <c r="Q15" s="10">
        <v>28597633</v>
      </c>
      <c r="R15" s="10">
        <v>57403112</v>
      </c>
      <c r="S15" s="10">
        <f t="shared" si="0"/>
        <v>304444976</v>
      </c>
      <c r="T15" s="10">
        <f t="shared" si="1"/>
        <v>209078352</v>
      </c>
    </row>
    <row r="16" spans="1:20" ht="47.25" x14ac:dyDescent="0.25">
      <c r="A16" s="7">
        <v>10</v>
      </c>
      <c r="B16" s="11" t="s">
        <v>23</v>
      </c>
      <c r="C16" s="11" t="s">
        <v>24</v>
      </c>
      <c r="D16" s="11" t="s">
        <v>197</v>
      </c>
      <c r="E16" s="10"/>
      <c r="F16" s="14">
        <v>39.375</v>
      </c>
      <c r="G16" s="10">
        <v>21976098</v>
      </c>
      <c r="H16" s="10">
        <v>16799036</v>
      </c>
      <c r="I16" s="10">
        <v>12654950</v>
      </c>
      <c r="J16" s="10">
        <v>8478333</v>
      </c>
      <c r="K16" s="10">
        <v>2381951</v>
      </c>
      <c r="L16" s="10">
        <v>2422351</v>
      </c>
      <c r="M16" s="10">
        <v>4045626</v>
      </c>
      <c r="N16" s="10">
        <v>2149029</v>
      </c>
      <c r="O16" s="10">
        <v>1437094</v>
      </c>
      <c r="P16" s="10">
        <v>3779783</v>
      </c>
      <c r="Q16" s="10">
        <v>10019751</v>
      </c>
      <c r="R16" s="10">
        <v>19929198</v>
      </c>
      <c r="S16" s="10">
        <f t="shared" si="0"/>
        <v>106073200</v>
      </c>
      <c r="T16" s="10">
        <f t="shared" si="1"/>
        <v>72344468</v>
      </c>
    </row>
    <row r="17" spans="1:20" ht="47.25" x14ac:dyDescent="0.25">
      <c r="A17" s="7">
        <v>11</v>
      </c>
      <c r="B17" s="11" t="s">
        <v>25</v>
      </c>
      <c r="C17" s="11" t="s">
        <v>26</v>
      </c>
      <c r="D17" s="11" t="s">
        <v>198</v>
      </c>
      <c r="E17" s="10"/>
      <c r="F17" s="12">
        <v>37.6</v>
      </c>
      <c r="G17" s="12">
        <v>14684036</v>
      </c>
      <c r="H17" s="12">
        <v>11740618</v>
      </c>
      <c r="I17" s="12">
        <v>9240614</v>
      </c>
      <c r="J17" s="12">
        <v>5228141</v>
      </c>
      <c r="K17" s="12">
        <v>2432130</v>
      </c>
      <c r="L17" s="12">
        <v>5866028</v>
      </c>
      <c r="M17" s="12">
        <v>9372726</v>
      </c>
      <c r="N17" s="12">
        <v>6345523</v>
      </c>
      <c r="O17" s="12">
        <v>3302539</v>
      </c>
      <c r="P17" s="12">
        <v>2863019</v>
      </c>
      <c r="Q17" s="12">
        <v>7438717</v>
      </c>
      <c r="R17" s="12">
        <v>12645342</v>
      </c>
      <c r="S17" s="10">
        <f t="shared" si="0"/>
        <v>91159433</v>
      </c>
      <c r="T17" s="10">
        <f t="shared" si="1"/>
        <v>68212355</v>
      </c>
    </row>
    <row r="18" spans="1:20" ht="31.5" x14ac:dyDescent="0.25">
      <c r="A18" s="7">
        <v>12</v>
      </c>
      <c r="B18" s="11" t="s">
        <v>27</v>
      </c>
      <c r="C18" s="11" t="s">
        <v>28</v>
      </c>
      <c r="D18" s="11" t="s">
        <v>199</v>
      </c>
      <c r="E18" s="10"/>
      <c r="F18" s="12">
        <v>49.8</v>
      </c>
      <c r="G18" s="10">
        <v>15286260</v>
      </c>
      <c r="H18" s="10">
        <v>15740260</v>
      </c>
      <c r="I18" s="10">
        <v>13978150</v>
      </c>
      <c r="J18" s="10">
        <v>7578580</v>
      </c>
      <c r="K18" s="10">
        <v>4891600</v>
      </c>
      <c r="L18" s="10">
        <v>8370380</v>
      </c>
      <c r="M18" s="10">
        <v>14230110</v>
      </c>
      <c r="N18" s="10">
        <v>9731460</v>
      </c>
      <c r="O18" s="10">
        <v>4918230</v>
      </c>
      <c r="P18" s="10">
        <v>3523760</v>
      </c>
      <c r="Q18" s="10">
        <v>10243540</v>
      </c>
      <c r="R18" s="10">
        <v>20159310</v>
      </c>
      <c r="S18" s="10">
        <f t="shared" si="0"/>
        <v>128651640</v>
      </c>
      <c r="T18" s="10">
        <f t="shared" si="1"/>
        <v>94725030</v>
      </c>
    </row>
    <row r="19" spans="1:20" x14ac:dyDescent="0.25">
      <c r="A19" s="7"/>
      <c r="B19" s="32" t="s">
        <v>217</v>
      </c>
      <c r="C19" s="32"/>
      <c r="D19" s="32"/>
      <c r="E19" s="10">
        <f t="shared" ref="E19:S19" si="2">SUM(E7:E18)</f>
        <v>0</v>
      </c>
      <c r="F19" s="15">
        <f t="shared" si="2"/>
        <v>665.62499999999989</v>
      </c>
      <c r="G19" s="8">
        <f t="shared" si="2"/>
        <v>278283090.89999998</v>
      </c>
      <c r="H19" s="8">
        <f t="shared" si="2"/>
        <v>232341330.26999998</v>
      </c>
      <c r="I19" s="8">
        <f t="shared" si="2"/>
        <v>181580355.19999999</v>
      </c>
      <c r="J19" s="8">
        <f t="shared" si="2"/>
        <v>112154354.59999999</v>
      </c>
      <c r="K19" s="8">
        <f t="shared" si="2"/>
        <v>48152459.600000001</v>
      </c>
      <c r="L19" s="8">
        <f t="shared" si="2"/>
        <v>76853594.189999998</v>
      </c>
      <c r="M19" s="8">
        <f t="shared" si="2"/>
        <v>122740061.21000001</v>
      </c>
      <c r="N19" s="8">
        <f t="shared" si="2"/>
        <v>80098942.810000002</v>
      </c>
      <c r="O19" s="8">
        <f t="shared" si="2"/>
        <v>44183596.93</v>
      </c>
      <c r="P19" s="8">
        <f t="shared" si="2"/>
        <v>51395847.140000001</v>
      </c>
      <c r="Q19" s="8">
        <f t="shared" si="2"/>
        <v>137837723.99000001</v>
      </c>
      <c r="R19" s="8">
        <f t="shared" si="2"/>
        <v>273796081.90999997</v>
      </c>
      <c r="S19" s="16">
        <f t="shared" si="2"/>
        <v>1639417438.75</v>
      </c>
      <c r="T19" s="16">
        <f t="shared" si="1"/>
        <v>1176387785.71</v>
      </c>
    </row>
    <row r="20" spans="1:20" x14ac:dyDescent="0.25">
      <c r="A20" s="7" t="s">
        <v>29</v>
      </c>
      <c r="B20" s="33" t="s">
        <v>201</v>
      </c>
      <c r="C20" s="33"/>
      <c r="D20" s="33"/>
      <c r="E20" s="8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7"/>
      <c r="T20" s="18"/>
    </row>
    <row r="21" spans="1:20" ht="47.25" x14ac:dyDescent="0.25">
      <c r="A21" s="7">
        <v>1</v>
      </c>
      <c r="B21" s="11" t="s">
        <v>30</v>
      </c>
      <c r="C21" s="11" t="s">
        <v>31</v>
      </c>
      <c r="D21" s="11" t="s">
        <v>164</v>
      </c>
      <c r="E21" s="10"/>
      <c r="F21" s="1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7"/>
      <c r="T21" s="18"/>
    </row>
    <row r="22" spans="1:20" ht="47.25" x14ac:dyDescent="0.25">
      <c r="A22" s="7">
        <v>2</v>
      </c>
      <c r="B22" s="11" t="s">
        <v>32</v>
      </c>
      <c r="C22" s="11" t="s">
        <v>33</v>
      </c>
      <c r="D22" s="11" t="s">
        <v>165</v>
      </c>
      <c r="E22" s="10"/>
      <c r="F22" s="1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7"/>
      <c r="T22" s="18"/>
    </row>
    <row r="23" spans="1:20" ht="47.25" x14ac:dyDescent="0.25">
      <c r="A23" s="7">
        <v>3</v>
      </c>
      <c r="B23" s="11" t="s">
        <v>34</v>
      </c>
      <c r="C23" s="11" t="s">
        <v>35</v>
      </c>
      <c r="D23" s="11" t="s">
        <v>166</v>
      </c>
      <c r="E23" s="10"/>
      <c r="F23" s="1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7"/>
      <c r="T23" s="18"/>
    </row>
    <row r="24" spans="1:20" ht="31.5" x14ac:dyDescent="0.25">
      <c r="A24" s="7">
        <v>4</v>
      </c>
      <c r="B24" s="11" t="s">
        <v>36</v>
      </c>
      <c r="C24" s="11" t="s">
        <v>37</v>
      </c>
      <c r="D24" s="11" t="s">
        <v>167</v>
      </c>
      <c r="E24" s="10"/>
      <c r="F24" s="1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7"/>
      <c r="T24" s="18"/>
    </row>
    <row r="25" spans="1:20" ht="47.25" x14ac:dyDescent="0.25">
      <c r="A25" s="7">
        <v>5</v>
      </c>
      <c r="B25" s="11" t="s">
        <v>38</v>
      </c>
      <c r="C25" s="11" t="s">
        <v>39</v>
      </c>
      <c r="D25" s="11" t="s">
        <v>139</v>
      </c>
      <c r="E25" s="10"/>
      <c r="F25" s="1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7"/>
      <c r="T25" s="18"/>
    </row>
    <row r="26" spans="1:20" ht="47.25" x14ac:dyDescent="0.25">
      <c r="A26" s="7">
        <v>6</v>
      </c>
      <c r="B26" s="11" t="s">
        <v>40</v>
      </c>
      <c r="C26" s="11" t="s">
        <v>41</v>
      </c>
      <c r="D26" s="11" t="s">
        <v>168</v>
      </c>
      <c r="E26" s="10"/>
      <c r="F26" s="1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7"/>
      <c r="T26" s="18"/>
    </row>
    <row r="27" spans="1:20" ht="47.25" x14ac:dyDescent="0.25">
      <c r="A27" s="7">
        <v>7</v>
      </c>
      <c r="B27" s="11" t="s">
        <v>42</v>
      </c>
      <c r="C27" s="11" t="s">
        <v>43</v>
      </c>
      <c r="D27" s="11" t="s">
        <v>169</v>
      </c>
      <c r="E27" s="10"/>
      <c r="F27" s="1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7"/>
      <c r="T27" s="18"/>
    </row>
    <row r="28" spans="1:20" ht="47.25" x14ac:dyDescent="0.25">
      <c r="A28" s="7">
        <v>8</v>
      </c>
      <c r="B28" s="11" t="s">
        <v>44</v>
      </c>
      <c r="C28" s="11" t="s">
        <v>45</v>
      </c>
      <c r="D28" s="11" t="s">
        <v>170</v>
      </c>
      <c r="E28" s="10"/>
      <c r="F28" s="1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7"/>
      <c r="T28" s="18"/>
    </row>
    <row r="29" spans="1:20" ht="47.25" x14ac:dyDescent="0.25">
      <c r="A29" s="7">
        <v>9</v>
      </c>
      <c r="B29" s="11" t="s">
        <v>46</v>
      </c>
      <c r="C29" s="11" t="s">
        <v>45</v>
      </c>
      <c r="D29" s="11" t="s">
        <v>171</v>
      </c>
      <c r="E29" s="10"/>
      <c r="F29" s="1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7"/>
      <c r="T29" s="18"/>
    </row>
    <row r="30" spans="1:20" ht="47.25" x14ac:dyDescent="0.25">
      <c r="A30" s="7">
        <v>10</v>
      </c>
      <c r="B30" s="11" t="s">
        <v>47</v>
      </c>
      <c r="C30" s="11" t="s">
        <v>48</v>
      </c>
      <c r="D30" s="11" t="s">
        <v>167</v>
      </c>
      <c r="E30" s="10"/>
      <c r="F30" s="1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7"/>
      <c r="T30" s="18"/>
    </row>
    <row r="31" spans="1:20" ht="47.25" x14ac:dyDescent="0.25">
      <c r="A31" s="7">
        <v>11</v>
      </c>
      <c r="B31" s="11" t="s">
        <v>49</v>
      </c>
      <c r="C31" s="11" t="s">
        <v>50</v>
      </c>
      <c r="D31" s="11" t="s">
        <v>172</v>
      </c>
      <c r="E31" s="10"/>
      <c r="F31" s="1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7"/>
      <c r="T31" s="18"/>
    </row>
    <row r="32" spans="1:20" ht="47.25" x14ac:dyDescent="0.25">
      <c r="A32" s="7">
        <v>12</v>
      </c>
      <c r="B32" s="11" t="s">
        <v>51</v>
      </c>
      <c r="C32" s="11" t="s">
        <v>52</v>
      </c>
      <c r="D32" s="11" t="s">
        <v>173</v>
      </c>
      <c r="E32" s="10"/>
      <c r="F32" s="1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7"/>
      <c r="T32" s="18"/>
    </row>
    <row r="33" spans="1:20" ht="47.25" x14ac:dyDescent="0.25">
      <c r="A33" s="7">
        <v>13</v>
      </c>
      <c r="B33" s="11" t="s">
        <v>53</v>
      </c>
      <c r="C33" s="11" t="s">
        <v>54</v>
      </c>
      <c r="D33" s="11" t="s">
        <v>174</v>
      </c>
      <c r="E33" s="10"/>
      <c r="F33" s="1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7"/>
      <c r="T33" s="18"/>
    </row>
    <row r="34" spans="1:20" ht="47.25" x14ac:dyDescent="0.25">
      <c r="A34" s="7">
        <v>14</v>
      </c>
      <c r="B34" s="11" t="s">
        <v>55</v>
      </c>
      <c r="C34" s="11" t="s">
        <v>56</v>
      </c>
      <c r="D34" s="11" t="s">
        <v>174</v>
      </c>
      <c r="E34" s="10"/>
      <c r="F34" s="1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7"/>
      <c r="T34" s="18"/>
    </row>
    <row r="35" spans="1:20" ht="47.25" x14ac:dyDescent="0.25">
      <c r="A35" s="7">
        <v>15</v>
      </c>
      <c r="B35" s="11" t="s">
        <v>57</v>
      </c>
      <c r="C35" s="11" t="s">
        <v>58</v>
      </c>
      <c r="D35" s="11" t="s">
        <v>175</v>
      </c>
      <c r="E35" s="10"/>
      <c r="F35" s="1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7"/>
      <c r="T35" s="18"/>
    </row>
    <row r="36" spans="1:20" ht="63" x14ac:dyDescent="0.25">
      <c r="A36" s="7">
        <v>16</v>
      </c>
      <c r="B36" s="11" t="s">
        <v>59</v>
      </c>
      <c r="C36" s="11" t="s">
        <v>60</v>
      </c>
      <c r="D36" s="11" t="s">
        <v>176</v>
      </c>
      <c r="E36" s="10"/>
      <c r="F36" s="19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7"/>
      <c r="T36" s="18"/>
    </row>
    <row r="37" spans="1:20" ht="63" x14ac:dyDescent="0.25">
      <c r="A37" s="7">
        <v>17</v>
      </c>
      <c r="B37" s="11" t="s">
        <v>61</v>
      </c>
      <c r="C37" s="11" t="s">
        <v>60</v>
      </c>
      <c r="D37" s="11" t="s">
        <v>176</v>
      </c>
      <c r="E37" s="10"/>
      <c r="F37" s="1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7"/>
      <c r="T37" s="18"/>
    </row>
    <row r="38" spans="1:20" ht="47.25" x14ac:dyDescent="0.25">
      <c r="A38" s="7">
        <v>18</v>
      </c>
      <c r="B38" s="11" t="s">
        <v>62</v>
      </c>
      <c r="C38" s="11" t="s">
        <v>63</v>
      </c>
      <c r="D38" s="11" t="s">
        <v>177</v>
      </c>
      <c r="E38" s="10"/>
      <c r="F38" s="1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7"/>
      <c r="T38" s="18"/>
    </row>
    <row r="39" spans="1:20" ht="47.25" x14ac:dyDescent="0.25">
      <c r="A39" s="7">
        <v>19</v>
      </c>
      <c r="B39" s="11" t="s">
        <v>64</v>
      </c>
      <c r="C39" s="11" t="s">
        <v>65</v>
      </c>
      <c r="D39" s="11" t="s">
        <v>177</v>
      </c>
      <c r="E39" s="10"/>
      <c r="F39" s="1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7"/>
      <c r="T39" s="18"/>
    </row>
    <row r="40" spans="1:20" ht="47.25" x14ac:dyDescent="0.25">
      <c r="A40" s="7">
        <v>20</v>
      </c>
      <c r="B40" s="11" t="s">
        <v>66</v>
      </c>
      <c r="C40" s="11" t="s">
        <v>67</v>
      </c>
      <c r="D40" s="11" t="s">
        <v>164</v>
      </c>
      <c r="E40" s="10"/>
      <c r="F40" s="1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7"/>
      <c r="T40" s="18"/>
    </row>
    <row r="41" spans="1:20" ht="47.25" x14ac:dyDescent="0.25">
      <c r="A41" s="7">
        <v>21</v>
      </c>
      <c r="B41" s="11" t="s">
        <v>68</v>
      </c>
      <c r="C41" s="11" t="s">
        <v>67</v>
      </c>
      <c r="D41" s="11" t="s">
        <v>178</v>
      </c>
      <c r="E41" s="10"/>
      <c r="F41" s="1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7"/>
      <c r="T41" s="18"/>
    </row>
    <row r="42" spans="1:20" ht="47.25" x14ac:dyDescent="0.25">
      <c r="A42" s="7">
        <v>22</v>
      </c>
      <c r="B42" s="11" t="s">
        <v>69</v>
      </c>
      <c r="C42" s="11" t="s">
        <v>67</v>
      </c>
      <c r="D42" s="11" t="s">
        <v>179</v>
      </c>
      <c r="E42" s="10"/>
      <c r="F42" s="1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7"/>
      <c r="T42" s="18"/>
    </row>
    <row r="43" spans="1:20" ht="47.25" x14ac:dyDescent="0.25">
      <c r="A43" s="7">
        <v>23</v>
      </c>
      <c r="B43" s="11" t="s">
        <v>70</v>
      </c>
      <c r="C43" s="11" t="s">
        <v>71</v>
      </c>
      <c r="D43" s="11" t="s">
        <v>180</v>
      </c>
      <c r="E43" s="10"/>
      <c r="F43" s="1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7"/>
      <c r="T43" s="18"/>
    </row>
    <row r="44" spans="1:20" ht="31.5" x14ac:dyDescent="0.25">
      <c r="A44" s="7">
        <v>24</v>
      </c>
      <c r="B44" s="11" t="s">
        <v>72</v>
      </c>
      <c r="C44" s="11" t="s">
        <v>73</v>
      </c>
      <c r="D44" s="11" t="s">
        <v>181</v>
      </c>
      <c r="E44" s="10"/>
      <c r="F44" s="1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7"/>
      <c r="T44" s="18"/>
    </row>
    <row r="45" spans="1:20" ht="47.25" x14ac:dyDescent="0.25">
      <c r="A45" s="7">
        <v>25</v>
      </c>
      <c r="B45" s="11" t="s">
        <v>74</v>
      </c>
      <c r="C45" s="11" t="s">
        <v>75</v>
      </c>
      <c r="D45" s="11" t="s">
        <v>182</v>
      </c>
      <c r="E45" s="10"/>
      <c r="F45" s="19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7"/>
      <c r="T45" s="18"/>
    </row>
    <row r="46" spans="1:20" ht="47.25" x14ac:dyDescent="0.25">
      <c r="A46" s="7">
        <v>26</v>
      </c>
      <c r="B46" s="11" t="s">
        <v>76</v>
      </c>
      <c r="C46" s="11" t="s">
        <v>77</v>
      </c>
      <c r="D46" s="11" t="s">
        <v>164</v>
      </c>
      <c r="E46" s="10"/>
      <c r="F46" s="1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7"/>
      <c r="T46" s="18"/>
    </row>
    <row r="47" spans="1:20" ht="47.25" x14ac:dyDescent="0.25">
      <c r="A47" s="7">
        <v>27</v>
      </c>
      <c r="B47" s="11" t="s">
        <v>78</v>
      </c>
      <c r="C47" s="11" t="s">
        <v>79</v>
      </c>
      <c r="D47" s="11" t="s">
        <v>164</v>
      </c>
      <c r="E47" s="10"/>
      <c r="F47" s="1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7"/>
      <c r="T47" s="18"/>
    </row>
    <row r="48" spans="1:20" ht="47.25" x14ac:dyDescent="0.25">
      <c r="A48" s="7">
        <v>28</v>
      </c>
      <c r="B48" s="11" t="s">
        <v>80</v>
      </c>
      <c r="C48" s="11" t="s">
        <v>81</v>
      </c>
      <c r="D48" s="11" t="s">
        <v>183</v>
      </c>
      <c r="E48" s="10"/>
      <c r="F48" s="1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7"/>
      <c r="T48" s="18"/>
    </row>
    <row r="49" spans="1:20" ht="47.25" x14ac:dyDescent="0.25">
      <c r="A49" s="7">
        <v>29</v>
      </c>
      <c r="B49" s="11" t="s">
        <v>82</v>
      </c>
      <c r="C49" s="11" t="s">
        <v>83</v>
      </c>
      <c r="D49" s="11" t="s">
        <v>184</v>
      </c>
      <c r="E49" s="10"/>
      <c r="F49" s="19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7"/>
      <c r="T49" s="18"/>
    </row>
    <row r="50" spans="1:20" ht="63" x14ac:dyDescent="0.25">
      <c r="A50" s="7">
        <v>30</v>
      </c>
      <c r="B50" s="11" t="s">
        <v>84</v>
      </c>
      <c r="C50" s="11" t="s">
        <v>85</v>
      </c>
      <c r="D50" s="11" t="s">
        <v>185</v>
      </c>
      <c r="E50" s="10"/>
      <c r="F50" s="1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7"/>
      <c r="T50" s="18"/>
    </row>
    <row r="51" spans="1:20" ht="47.25" x14ac:dyDescent="0.25">
      <c r="A51" s="7">
        <v>31</v>
      </c>
      <c r="B51" s="11" t="s">
        <v>86</v>
      </c>
      <c r="C51" s="11" t="s">
        <v>87</v>
      </c>
      <c r="D51" s="11" t="s">
        <v>186</v>
      </c>
      <c r="E51" s="10"/>
      <c r="F51" s="19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7"/>
      <c r="T51" s="18"/>
    </row>
    <row r="52" spans="1:20" ht="47.25" x14ac:dyDescent="0.25">
      <c r="A52" s="7">
        <v>32</v>
      </c>
      <c r="B52" s="11" t="s">
        <v>88</v>
      </c>
      <c r="C52" s="11" t="s">
        <v>89</v>
      </c>
      <c r="D52" s="11" t="s">
        <v>186</v>
      </c>
      <c r="E52" s="10"/>
      <c r="F52" s="19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7"/>
      <c r="T52" s="18"/>
    </row>
    <row r="53" spans="1:20" ht="47.25" x14ac:dyDescent="0.25">
      <c r="A53" s="7">
        <v>33</v>
      </c>
      <c r="B53" s="11" t="s">
        <v>90</v>
      </c>
      <c r="C53" s="11" t="s">
        <v>91</v>
      </c>
      <c r="D53" s="11" t="s">
        <v>187</v>
      </c>
      <c r="E53" s="10"/>
      <c r="F53" s="1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7"/>
      <c r="T53" s="18"/>
    </row>
    <row r="54" spans="1:20" ht="47.25" x14ac:dyDescent="0.25">
      <c r="A54" s="7">
        <v>34</v>
      </c>
      <c r="B54" s="11" t="s">
        <v>92</v>
      </c>
      <c r="C54" s="11" t="s">
        <v>93</v>
      </c>
      <c r="D54" s="11" t="s">
        <v>188</v>
      </c>
      <c r="E54" s="10"/>
      <c r="F54" s="1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7"/>
      <c r="T54" s="18"/>
    </row>
    <row r="55" spans="1:20" ht="47.25" x14ac:dyDescent="0.25">
      <c r="A55" s="7">
        <v>35</v>
      </c>
      <c r="B55" s="11" t="s">
        <v>94</v>
      </c>
      <c r="C55" s="11" t="s">
        <v>93</v>
      </c>
      <c r="D55" s="11" t="s">
        <v>188</v>
      </c>
      <c r="E55" s="10"/>
      <c r="F55" s="1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7"/>
      <c r="T55" s="18"/>
    </row>
    <row r="56" spans="1:20" ht="47.25" x14ac:dyDescent="0.25">
      <c r="A56" s="7">
        <v>36</v>
      </c>
      <c r="B56" s="11" t="s">
        <v>95</v>
      </c>
      <c r="C56" s="11" t="s">
        <v>93</v>
      </c>
      <c r="D56" s="11" t="s">
        <v>188</v>
      </c>
      <c r="E56" s="10"/>
      <c r="F56" s="1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7"/>
      <c r="T56" s="18"/>
    </row>
    <row r="57" spans="1:20" ht="47.25" x14ac:dyDescent="0.25">
      <c r="A57" s="7">
        <v>37</v>
      </c>
      <c r="B57" s="11" t="s">
        <v>96</v>
      </c>
      <c r="C57" s="11" t="s">
        <v>97</v>
      </c>
      <c r="D57" s="11" t="s">
        <v>189</v>
      </c>
      <c r="E57" s="10"/>
      <c r="F57" s="1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7"/>
      <c r="T57" s="18"/>
    </row>
    <row r="58" spans="1:20" ht="47.25" x14ac:dyDescent="0.25">
      <c r="A58" s="7">
        <v>38</v>
      </c>
      <c r="B58" s="11" t="s">
        <v>98</v>
      </c>
      <c r="C58" s="11" t="s">
        <v>99</v>
      </c>
      <c r="D58" s="11" t="s">
        <v>190</v>
      </c>
      <c r="E58" s="10"/>
      <c r="F58" s="1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7"/>
      <c r="T58" s="18"/>
    </row>
    <row r="59" spans="1:20" ht="47.25" x14ac:dyDescent="0.25">
      <c r="A59" s="7">
        <v>39</v>
      </c>
      <c r="B59" s="11" t="s">
        <v>100</v>
      </c>
      <c r="C59" s="11" t="s">
        <v>101</v>
      </c>
      <c r="D59" s="11" t="s">
        <v>191</v>
      </c>
      <c r="E59" s="10"/>
      <c r="F59" s="1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7"/>
      <c r="T59" s="18"/>
    </row>
    <row r="60" spans="1:20" ht="47.25" x14ac:dyDescent="0.25">
      <c r="A60" s="7">
        <v>40</v>
      </c>
      <c r="B60" s="11" t="s">
        <v>102</v>
      </c>
      <c r="C60" s="11" t="s">
        <v>101</v>
      </c>
      <c r="D60" s="11" t="s">
        <v>191</v>
      </c>
      <c r="E60" s="10"/>
      <c r="F60" s="1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7"/>
      <c r="T60" s="18"/>
    </row>
    <row r="61" spans="1:20" ht="47.25" x14ac:dyDescent="0.25">
      <c r="A61" s="7">
        <v>41</v>
      </c>
      <c r="B61" s="11" t="s">
        <v>103</v>
      </c>
      <c r="C61" s="11" t="s">
        <v>104</v>
      </c>
      <c r="D61" s="11" t="s">
        <v>192</v>
      </c>
      <c r="E61" s="10"/>
      <c r="F61" s="1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7"/>
      <c r="T61" s="18"/>
    </row>
    <row r="62" spans="1:20" ht="47.25" x14ac:dyDescent="0.25">
      <c r="A62" s="7">
        <v>42</v>
      </c>
      <c r="B62" s="11" t="s">
        <v>105</v>
      </c>
      <c r="C62" s="11" t="s">
        <v>106</v>
      </c>
      <c r="D62" s="11" t="s">
        <v>193</v>
      </c>
      <c r="E62" s="10"/>
      <c r="F62" s="1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7"/>
      <c r="T62" s="18"/>
    </row>
    <row r="63" spans="1:20" ht="47.25" x14ac:dyDescent="0.25">
      <c r="A63" s="7">
        <v>43</v>
      </c>
      <c r="B63" s="11" t="s">
        <v>107</v>
      </c>
      <c r="C63" s="11" t="s">
        <v>108</v>
      </c>
      <c r="D63" s="11" t="s">
        <v>214</v>
      </c>
      <c r="E63" s="10"/>
      <c r="F63" s="1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7"/>
      <c r="T63" s="18"/>
    </row>
    <row r="64" spans="1:20" ht="47.25" x14ac:dyDescent="0.25">
      <c r="A64" s="7">
        <v>44</v>
      </c>
      <c r="B64" s="11" t="s">
        <v>109</v>
      </c>
      <c r="C64" s="11" t="s">
        <v>110</v>
      </c>
      <c r="D64" s="11" t="s">
        <v>166</v>
      </c>
      <c r="E64" s="10"/>
      <c r="F64" s="1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7"/>
      <c r="T64" s="18"/>
    </row>
    <row r="65" spans="1:20" ht="47.25" x14ac:dyDescent="0.25">
      <c r="A65" s="7">
        <v>45</v>
      </c>
      <c r="B65" s="11" t="s">
        <v>111</v>
      </c>
      <c r="C65" s="11" t="s">
        <v>112</v>
      </c>
      <c r="D65" s="11" t="s">
        <v>194</v>
      </c>
      <c r="E65" s="10"/>
      <c r="F65" s="1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7"/>
      <c r="T65" s="18"/>
    </row>
    <row r="66" spans="1:20" x14ac:dyDescent="0.25">
      <c r="A66" s="32" t="s">
        <v>217</v>
      </c>
      <c r="B66" s="32"/>
      <c r="C66" s="32"/>
      <c r="D66" s="32"/>
      <c r="E66" s="10">
        <f>SUM(E21:E65)</f>
        <v>0</v>
      </c>
      <c r="F66" s="19">
        <f t="shared" ref="F66:R66" si="3">SUM(F21:F65)</f>
        <v>0</v>
      </c>
      <c r="G66" s="10">
        <f t="shared" si="3"/>
        <v>0</v>
      </c>
      <c r="H66" s="10">
        <f t="shared" si="3"/>
        <v>0</v>
      </c>
      <c r="I66" s="10">
        <f t="shared" si="3"/>
        <v>0</v>
      </c>
      <c r="J66" s="10">
        <f t="shared" si="3"/>
        <v>0</v>
      </c>
      <c r="K66" s="10">
        <f t="shared" si="3"/>
        <v>0</v>
      </c>
      <c r="L66" s="10">
        <f t="shared" si="3"/>
        <v>0</v>
      </c>
      <c r="M66" s="10">
        <f t="shared" si="3"/>
        <v>0</v>
      </c>
      <c r="N66" s="10">
        <f t="shared" si="3"/>
        <v>0</v>
      </c>
      <c r="O66" s="10">
        <f t="shared" si="3"/>
        <v>0</v>
      </c>
      <c r="P66" s="10">
        <f t="shared" si="3"/>
        <v>0</v>
      </c>
      <c r="Q66" s="10">
        <f t="shared" si="3"/>
        <v>0</v>
      </c>
      <c r="R66" s="10">
        <f t="shared" si="3"/>
        <v>0</v>
      </c>
      <c r="S66" s="17"/>
      <c r="T66" s="18"/>
    </row>
    <row r="67" spans="1:20" s="3" customFormat="1" x14ac:dyDescent="0.25">
      <c r="A67" s="7" t="s">
        <v>113</v>
      </c>
      <c r="B67" s="33" t="s">
        <v>126</v>
      </c>
      <c r="C67" s="33"/>
      <c r="D67" s="33"/>
      <c r="E67" s="8"/>
      <c r="F67" s="9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20"/>
      <c r="T67" s="21"/>
    </row>
    <row r="68" spans="1:20" s="3" customFormat="1" ht="47.25" x14ac:dyDescent="0.25">
      <c r="A68" s="7">
        <v>1</v>
      </c>
      <c r="B68" s="11" t="s">
        <v>128</v>
      </c>
      <c r="C68" s="11" t="s">
        <v>129</v>
      </c>
      <c r="D68" s="11" t="s">
        <v>130</v>
      </c>
      <c r="E68" s="8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20"/>
      <c r="T68" s="21"/>
    </row>
    <row r="69" spans="1:20" s="3" customFormat="1" ht="47.25" x14ac:dyDescent="0.25">
      <c r="A69" s="7">
        <v>2</v>
      </c>
      <c r="B69" s="11" t="s">
        <v>131</v>
      </c>
      <c r="C69" s="11" t="s">
        <v>129</v>
      </c>
      <c r="D69" s="11" t="s">
        <v>130</v>
      </c>
      <c r="E69" s="8"/>
      <c r="F69" s="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20"/>
      <c r="T69" s="21"/>
    </row>
    <row r="70" spans="1:20" s="3" customFormat="1" ht="47.25" x14ac:dyDescent="0.25">
      <c r="A70" s="7">
        <v>3</v>
      </c>
      <c r="B70" s="11" t="s">
        <v>132</v>
      </c>
      <c r="C70" s="11" t="s">
        <v>129</v>
      </c>
      <c r="D70" s="11" t="s">
        <v>130</v>
      </c>
      <c r="E70" s="8"/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20"/>
      <c r="T70" s="21"/>
    </row>
    <row r="71" spans="1:20" s="3" customFormat="1" ht="47.25" x14ac:dyDescent="0.25">
      <c r="A71" s="7">
        <v>4</v>
      </c>
      <c r="B71" s="22" t="s">
        <v>133</v>
      </c>
      <c r="C71" s="11" t="s">
        <v>134</v>
      </c>
      <c r="D71" s="11" t="s">
        <v>135</v>
      </c>
      <c r="E71" s="8"/>
      <c r="F71" s="9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20"/>
      <c r="T71" s="21"/>
    </row>
    <row r="72" spans="1:20" s="3" customFormat="1" ht="47.25" x14ac:dyDescent="0.25">
      <c r="A72" s="7">
        <v>5</v>
      </c>
      <c r="B72" s="22" t="s">
        <v>136</v>
      </c>
      <c r="C72" s="11" t="s">
        <v>134</v>
      </c>
      <c r="D72" s="11" t="s">
        <v>135</v>
      </c>
      <c r="E72" s="8"/>
      <c r="F72" s="9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20"/>
      <c r="T72" s="21"/>
    </row>
    <row r="73" spans="1:20" s="3" customFormat="1" ht="31.5" x14ac:dyDescent="0.25">
      <c r="A73" s="7">
        <v>6</v>
      </c>
      <c r="B73" s="22" t="s">
        <v>137</v>
      </c>
      <c r="C73" s="11" t="s">
        <v>138</v>
      </c>
      <c r="D73" s="11" t="s">
        <v>139</v>
      </c>
      <c r="E73" s="8"/>
      <c r="F73" s="9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20"/>
      <c r="T73" s="21"/>
    </row>
    <row r="74" spans="1:20" s="3" customFormat="1" ht="63" x14ac:dyDescent="0.25">
      <c r="A74" s="7">
        <v>7</v>
      </c>
      <c r="B74" s="22" t="s">
        <v>140</v>
      </c>
      <c r="C74" s="11" t="s">
        <v>141</v>
      </c>
      <c r="D74" s="11" t="s">
        <v>142</v>
      </c>
      <c r="E74" s="8"/>
      <c r="F74" s="9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20"/>
      <c r="T74" s="21"/>
    </row>
    <row r="75" spans="1:20" s="3" customFormat="1" ht="47.25" x14ac:dyDescent="0.25">
      <c r="A75" s="7">
        <v>8</v>
      </c>
      <c r="B75" s="22" t="s">
        <v>143</v>
      </c>
      <c r="C75" s="11" t="s">
        <v>144</v>
      </c>
      <c r="D75" s="11" t="s">
        <v>145</v>
      </c>
      <c r="E75" s="8"/>
      <c r="F75" s="9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20"/>
      <c r="T75" s="21"/>
    </row>
    <row r="76" spans="1:20" s="3" customFormat="1" ht="47.25" x14ac:dyDescent="0.25">
      <c r="A76" s="7">
        <v>9</v>
      </c>
      <c r="B76" s="22" t="s">
        <v>146</v>
      </c>
      <c r="C76" s="11" t="s">
        <v>147</v>
      </c>
      <c r="D76" s="11" t="s">
        <v>148</v>
      </c>
      <c r="E76" s="8"/>
      <c r="F76" s="9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20"/>
      <c r="T76" s="21"/>
    </row>
    <row r="77" spans="1:20" s="3" customFormat="1" ht="47.25" x14ac:dyDescent="0.25">
      <c r="A77" s="7">
        <v>10</v>
      </c>
      <c r="B77" s="22" t="s">
        <v>149</v>
      </c>
      <c r="C77" s="11" t="s">
        <v>150</v>
      </c>
      <c r="D77" s="11" t="s">
        <v>151</v>
      </c>
      <c r="E77" s="8"/>
      <c r="F77" s="9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20"/>
      <c r="T77" s="21"/>
    </row>
    <row r="78" spans="1:20" s="3" customFormat="1" ht="47.25" x14ac:dyDescent="0.25">
      <c r="A78" s="7">
        <v>11</v>
      </c>
      <c r="B78" s="22" t="s">
        <v>152</v>
      </c>
      <c r="C78" s="11" t="s">
        <v>153</v>
      </c>
      <c r="D78" s="11" t="s">
        <v>154</v>
      </c>
      <c r="E78" s="8"/>
      <c r="F78" s="9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20"/>
      <c r="T78" s="21"/>
    </row>
    <row r="79" spans="1:20" ht="31.5" x14ac:dyDescent="0.25">
      <c r="A79" s="7">
        <v>12</v>
      </c>
      <c r="B79" s="22" t="s">
        <v>155</v>
      </c>
      <c r="C79" s="11" t="s">
        <v>156</v>
      </c>
      <c r="D79" s="11" t="s">
        <v>157</v>
      </c>
      <c r="E79" s="10"/>
      <c r="F79" s="19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7"/>
      <c r="T79" s="18"/>
    </row>
    <row r="80" spans="1:20" ht="31.5" x14ac:dyDescent="0.25">
      <c r="A80" s="7">
        <v>13</v>
      </c>
      <c r="B80" s="22" t="s">
        <v>158</v>
      </c>
      <c r="C80" s="11" t="s">
        <v>159</v>
      </c>
      <c r="D80" s="11" t="s">
        <v>160</v>
      </c>
      <c r="E80" s="10"/>
      <c r="F80" s="19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7"/>
      <c r="T80" s="18"/>
    </row>
    <row r="81" spans="1:20" ht="31.5" x14ac:dyDescent="0.25">
      <c r="A81" s="7">
        <v>14</v>
      </c>
      <c r="B81" s="11" t="s">
        <v>161</v>
      </c>
      <c r="C81" s="11" t="s">
        <v>162</v>
      </c>
      <c r="D81" s="11" t="s">
        <v>163</v>
      </c>
      <c r="E81" s="10"/>
      <c r="F81" s="19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7"/>
      <c r="T81" s="18"/>
    </row>
    <row r="82" spans="1:20" x14ac:dyDescent="0.25">
      <c r="A82" s="32" t="s">
        <v>217</v>
      </c>
      <c r="B82" s="32"/>
      <c r="C82" s="32"/>
      <c r="D82" s="32"/>
      <c r="E82" s="10">
        <f>SUM(E68:E81)</f>
        <v>0</v>
      </c>
      <c r="F82" s="19">
        <f t="shared" ref="F82:R82" si="4">SUM(F68:F81)</f>
        <v>0</v>
      </c>
      <c r="G82" s="10">
        <f t="shared" si="4"/>
        <v>0</v>
      </c>
      <c r="H82" s="10">
        <f t="shared" si="4"/>
        <v>0</v>
      </c>
      <c r="I82" s="10">
        <f t="shared" si="4"/>
        <v>0</v>
      </c>
      <c r="J82" s="10">
        <f t="shared" si="4"/>
        <v>0</v>
      </c>
      <c r="K82" s="10">
        <f t="shared" si="4"/>
        <v>0</v>
      </c>
      <c r="L82" s="10">
        <f t="shared" si="4"/>
        <v>0</v>
      </c>
      <c r="M82" s="10">
        <f t="shared" si="4"/>
        <v>0</v>
      </c>
      <c r="N82" s="10">
        <f t="shared" si="4"/>
        <v>0</v>
      </c>
      <c r="O82" s="10">
        <f t="shared" si="4"/>
        <v>0</v>
      </c>
      <c r="P82" s="10">
        <f t="shared" si="4"/>
        <v>0</v>
      </c>
      <c r="Q82" s="10">
        <f t="shared" si="4"/>
        <v>0</v>
      </c>
      <c r="R82" s="10">
        <f t="shared" si="4"/>
        <v>0</v>
      </c>
      <c r="S82" s="17"/>
      <c r="T82" s="18"/>
    </row>
    <row r="83" spans="1:20" s="3" customFormat="1" x14ac:dyDescent="0.25">
      <c r="A83" s="7" t="s">
        <v>118</v>
      </c>
      <c r="B83" s="33" t="s">
        <v>114</v>
      </c>
      <c r="C83" s="33"/>
      <c r="D83" s="33"/>
      <c r="E83" s="8"/>
      <c r="F83" s="9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20"/>
      <c r="T83" s="21"/>
    </row>
    <row r="84" spans="1:20" ht="47.25" x14ac:dyDescent="0.25">
      <c r="A84" s="7">
        <v>1</v>
      </c>
      <c r="B84" s="11" t="s">
        <v>115</v>
      </c>
      <c r="C84" s="11" t="s">
        <v>116</v>
      </c>
      <c r="D84" s="11" t="s">
        <v>117</v>
      </c>
      <c r="E84" s="10"/>
      <c r="F84" s="19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7"/>
      <c r="T84" s="18"/>
    </row>
    <row r="85" spans="1:20" s="3" customFormat="1" x14ac:dyDescent="0.25">
      <c r="A85" s="7" t="s">
        <v>127</v>
      </c>
      <c r="B85" s="33" t="s">
        <v>119</v>
      </c>
      <c r="C85" s="33"/>
      <c r="D85" s="33"/>
      <c r="E85" s="8"/>
      <c r="F85" s="9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20"/>
      <c r="T85" s="21"/>
    </row>
    <row r="86" spans="1:20" ht="47.25" x14ac:dyDescent="0.25">
      <c r="A86" s="7">
        <v>1</v>
      </c>
      <c r="B86" s="11" t="s">
        <v>120</v>
      </c>
      <c r="C86" s="11" t="s">
        <v>121</v>
      </c>
      <c r="D86" s="11" t="s">
        <v>122</v>
      </c>
      <c r="E86" s="10"/>
      <c r="F86" s="19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7"/>
      <c r="T86" s="18"/>
    </row>
    <row r="87" spans="1:20" ht="47.25" x14ac:dyDescent="0.25">
      <c r="A87" s="7">
        <v>2</v>
      </c>
      <c r="B87" s="11" t="s">
        <v>123</v>
      </c>
      <c r="C87" s="11" t="s">
        <v>124</v>
      </c>
      <c r="D87" s="11" t="s">
        <v>125</v>
      </c>
      <c r="E87" s="10"/>
      <c r="F87" s="19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7"/>
      <c r="T87" s="18"/>
    </row>
    <row r="88" spans="1:20" x14ac:dyDescent="0.25">
      <c r="A88" s="32" t="s">
        <v>217</v>
      </c>
      <c r="B88" s="32"/>
      <c r="C88" s="32"/>
      <c r="D88" s="32"/>
      <c r="E88" s="10">
        <f>SUM(E86:E87)</f>
        <v>0</v>
      </c>
      <c r="F88" s="19">
        <f t="shared" ref="F88:R88" si="5">SUM(F86:F87)</f>
        <v>0</v>
      </c>
      <c r="G88" s="10">
        <f t="shared" si="5"/>
        <v>0</v>
      </c>
      <c r="H88" s="10">
        <f t="shared" si="5"/>
        <v>0</v>
      </c>
      <c r="I88" s="10">
        <f t="shared" si="5"/>
        <v>0</v>
      </c>
      <c r="J88" s="10">
        <f t="shared" si="5"/>
        <v>0</v>
      </c>
      <c r="K88" s="10">
        <f t="shared" si="5"/>
        <v>0</v>
      </c>
      <c r="L88" s="10">
        <f t="shared" si="5"/>
        <v>0</v>
      </c>
      <c r="M88" s="10">
        <f t="shared" si="5"/>
        <v>0</v>
      </c>
      <c r="N88" s="10">
        <f t="shared" si="5"/>
        <v>0</v>
      </c>
      <c r="O88" s="10">
        <f t="shared" si="5"/>
        <v>0</v>
      </c>
      <c r="P88" s="10">
        <f t="shared" si="5"/>
        <v>0</v>
      </c>
      <c r="Q88" s="10">
        <f t="shared" si="5"/>
        <v>0</v>
      </c>
      <c r="R88" s="10">
        <f t="shared" si="5"/>
        <v>0</v>
      </c>
      <c r="S88" s="17"/>
      <c r="T88" s="23"/>
    </row>
  </sheetData>
  <mergeCells count="19">
    <mergeCell ref="B83:D83"/>
    <mergeCell ref="B85:D85"/>
    <mergeCell ref="A88:D88"/>
    <mergeCell ref="B6:D6"/>
    <mergeCell ref="B19:D19"/>
    <mergeCell ref="B20:D20"/>
    <mergeCell ref="A66:D66"/>
    <mergeCell ref="B67:D67"/>
    <mergeCell ref="A82:D82"/>
    <mergeCell ref="T4:T5"/>
    <mergeCell ref="S4:S5"/>
    <mergeCell ref="A1:R1"/>
    <mergeCell ref="A2:R2"/>
    <mergeCell ref="A4:A5"/>
    <mergeCell ref="B4:B5"/>
    <mergeCell ref="C4:C5"/>
    <mergeCell ref="D4:D5"/>
    <mergeCell ref="E4:F4"/>
    <mergeCell ref="G4:R4"/>
  </mergeCells>
  <printOptions horizontalCentered="1"/>
  <pageMargins left="0.2" right="0.2" top="0.75" bottom="0.75" header="0.3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"/>
  <sheetViews>
    <sheetView topLeftCell="C1" zoomScaleNormal="100" workbookViewId="0">
      <selection activeCell="O11" sqref="O11"/>
    </sheetView>
  </sheetViews>
  <sheetFormatPr defaultRowHeight="18.75" x14ac:dyDescent="0.25"/>
  <cols>
    <col min="1" max="1" width="5.140625" style="1" bestFit="1" customWidth="1"/>
    <col min="2" max="4" width="20.7109375" style="2" customWidth="1"/>
    <col min="5" max="5" width="6.5703125" style="2" bestFit="1" customWidth="1"/>
    <col min="6" max="6" width="8.42578125" style="2" bestFit="1" customWidth="1"/>
    <col min="7" max="7" width="16" style="2" bestFit="1" customWidth="1"/>
    <col min="8" max="10" width="14.28515625" style="2" bestFit="1" customWidth="1"/>
    <col min="11" max="14" width="13.140625" style="2" bestFit="1" customWidth="1"/>
    <col min="15" max="15" width="14.28515625" style="2" bestFit="1" customWidth="1"/>
    <col min="16" max="16" width="13.140625" style="2" bestFit="1" customWidth="1"/>
    <col min="17" max="19" width="9.85546875" style="2" bestFit="1" customWidth="1"/>
    <col min="20" max="20" width="16" style="2" bestFit="1" customWidth="1"/>
    <col min="21" max="21" width="9.140625" style="2" bestFit="1" customWidth="1"/>
    <col min="22" max="16384" width="9.140625" style="2"/>
  </cols>
  <sheetData>
    <row r="1" spans="1:21" ht="18.75" customHeight="1" x14ac:dyDescent="0.25">
      <c r="A1" s="30" t="s">
        <v>218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2" spans="1:21" ht="18.75" customHeight="1" x14ac:dyDescent="0.25">
      <c r="A2" s="31" t="s">
        <v>219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4" spans="1:21" s="1" customFormat="1" ht="27" customHeight="1" x14ac:dyDescent="0.25">
      <c r="A4" s="32" t="s">
        <v>0</v>
      </c>
      <c r="B4" s="32" t="s">
        <v>1</v>
      </c>
      <c r="C4" s="32" t="s">
        <v>2</v>
      </c>
      <c r="D4" s="32" t="s">
        <v>3</v>
      </c>
      <c r="E4" s="32" t="s">
        <v>4</v>
      </c>
      <c r="F4" s="32"/>
      <c r="G4" s="32" t="s">
        <v>224</v>
      </c>
      <c r="H4" s="32" t="s">
        <v>225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4" t="s">
        <v>221</v>
      </c>
      <c r="U4" s="29" t="s">
        <v>226</v>
      </c>
    </row>
    <row r="5" spans="1:21" s="1" customFormat="1" ht="27" customHeight="1" x14ac:dyDescent="0.25">
      <c r="A5" s="32"/>
      <c r="B5" s="32"/>
      <c r="C5" s="32"/>
      <c r="D5" s="32"/>
      <c r="E5" s="7" t="s">
        <v>215</v>
      </c>
      <c r="F5" s="7" t="s">
        <v>216</v>
      </c>
      <c r="G5" s="32"/>
      <c r="H5" s="7" t="s">
        <v>202</v>
      </c>
      <c r="I5" s="7" t="s">
        <v>203</v>
      </c>
      <c r="J5" s="7" t="s">
        <v>204</v>
      </c>
      <c r="K5" s="7" t="s">
        <v>205</v>
      </c>
      <c r="L5" s="7" t="s">
        <v>206</v>
      </c>
      <c r="M5" s="7" t="s">
        <v>207</v>
      </c>
      <c r="N5" s="7" t="s">
        <v>208</v>
      </c>
      <c r="O5" s="7" t="s">
        <v>209</v>
      </c>
      <c r="P5" s="7" t="s">
        <v>210</v>
      </c>
      <c r="Q5" s="7" t="s">
        <v>211</v>
      </c>
      <c r="R5" s="7" t="s">
        <v>212</v>
      </c>
      <c r="S5" s="7" t="s">
        <v>213</v>
      </c>
      <c r="T5" s="35"/>
      <c r="U5" s="29"/>
    </row>
    <row r="6" spans="1:21" x14ac:dyDescent="0.25">
      <c r="A6" s="7" t="s">
        <v>5</v>
      </c>
      <c r="B6" s="33" t="s">
        <v>200</v>
      </c>
      <c r="C6" s="33"/>
      <c r="D6" s="33"/>
      <c r="E6" s="8"/>
      <c r="F6" s="8"/>
      <c r="G6" s="8"/>
      <c r="H6" s="8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f>SUM(H6:S6)</f>
        <v>0</v>
      </c>
      <c r="U6" s="24"/>
    </row>
    <row r="7" spans="1:21" ht="47.25" x14ac:dyDescent="0.25">
      <c r="A7" s="7">
        <v>1</v>
      </c>
      <c r="B7" s="11" t="s">
        <v>6</v>
      </c>
      <c r="C7" s="11" t="s">
        <v>7</v>
      </c>
      <c r="D7" s="11" t="s">
        <v>164</v>
      </c>
      <c r="E7" s="10"/>
      <c r="F7" s="12">
        <f>'BC năm 2025'!F7</f>
        <v>50</v>
      </c>
      <c r="G7" s="12">
        <v>135614593</v>
      </c>
      <c r="H7" s="12">
        <v>15408572</v>
      </c>
      <c r="I7" s="12">
        <v>15148881</v>
      </c>
      <c r="J7" s="12">
        <v>12024618</v>
      </c>
      <c r="K7" s="12">
        <v>8723450</v>
      </c>
      <c r="L7" s="12">
        <v>7432276</v>
      </c>
      <c r="M7" s="12">
        <v>11206429</v>
      </c>
      <c r="N7" s="12">
        <v>14007504</v>
      </c>
      <c r="O7" s="12">
        <v>18121954</v>
      </c>
      <c r="P7" s="12">
        <v>5257059</v>
      </c>
      <c r="Q7" s="10"/>
      <c r="R7" s="10"/>
      <c r="S7" s="10"/>
      <c r="T7" s="10">
        <f t="shared" ref="T7:T69" si="0">SUM(H7:S7)</f>
        <v>107330743</v>
      </c>
      <c r="U7" s="24">
        <f>T7/'BC năm 2025'!T7</f>
        <v>1.1406012135071244</v>
      </c>
    </row>
    <row r="8" spans="1:21" ht="47.25" x14ac:dyDescent="0.25">
      <c r="A8" s="7">
        <v>2</v>
      </c>
      <c r="B8" s="11" t="s">
        <v>8</v>
      </c>
      <c r="C8" s="11" t="s">
        <v>9</v>
      </c>
      <c r="D8" s="11" t="s">
        <v>164</v>
      </c>
      <c r="E8" s="10"/>
      <c r="F8" s="12">
        <f>'BC năm 2025'!F8</f>
        <v>88</v>
      </c>
      <c r="G8" s="12">
        <v>317230000</v>
      </c>
      <c r="H8" s="12">
        <v>30284554</v>
      </c>
      <c r="I8" s="12">
        <v>28229840</v>
      </c>
      <c r="J8" s="12">
        <v>24173657</v>
      </c>
      <c r="K8" s="12">
        <v>20425278</v>
      </c>
      <c r="L8" s="12">
        <v>16796752</v>
      </c>
      <c r="M8" s="12">
        <v>24962968</v>
      </c>
      <c r="N8" s="12">
        <v>29092945</v>
      </c>
      <c r="O8" s="12">
        <v>30349756</v>
      </c>
      <c r="P8" s="12">
        <v>8777287</v>
      </c>
      <c r="Q8" s="10"/>
      <c r="R8" s="10"/>
      <c r="S8" s="10"/>
      <c r="T8" s="10">
        <f t="shared" si="0"/>
        <v>213093037</v>
      </c>
      <c r="U8" s="24">
        <f>T8/'BC năm 2025'!T8</f>
        <v>0.98498179096969873</v>
      </c>
    </row>
    <row r="9" spans="1:21" ht="63" x14ac:dyDescent="0.25">
      <c r="A9" s="7">
        <v>3</v>
      </c>
      <c r="B9" s="11" t="s">
        <v>10</v>
      </c>
      <c r="C9" s="11" t="s">
        <v>11</v>
      </c>
      <c r="D9" s="11" t="s">
        <v>195</v>
      </c>
      <c r="E9" s="10"/>
      <c r="F9" s="12">
        <f>'BC năm 2025'!F9</f>
        <v>48</v>
      </c>
      <c r="G9" s="12">
        <v>119662689.2</v>
      </c>
      <c r="H9" s="12">
        <v>23195501</v>
      </c>
      <c r="I9" s="12">
        <v>17263432</v>
      </c>
      <c r="J9" s="12">
        <v>11981450.300000001</v>
      </c>
      <c r="K9" s="12">
        <v>3491990.7</v>
      </c>
      <c r="L9" s="12">
        <v>6029697</v>
      </c>
      <c r="M9" s="12">
        <v>2742420</v>
      </c>
      <c r="N9" s="12">
        <v>3937254</v>
      </c>
      <c r="O9" s="12">
        <v>7717137</v>
      </c>
      <c r="P9" s="12">
        <v>1324938</v>
      </c>
      <c r="Q9" s="10"/>
      <c r="R9" s="10"/>
      <c r="S9" s="10"/>
      <c r="T9" s="10">
        <f t="shared" si="0"/>
        <v>77683820</v>
      </c>
      <c r="U9" s="24">
        <f>T9/'BC năm 2025'!T9</f>
        <v>0.86752597321314717</v>
      </c>
    </row>
    <row r="10" spans="1:21" ht="63" x14ac:dyDescent="0.25">
      <c r="A10" s="7">
        <v>4</v>
      </c>
      <c r="B10" s="11" t="s">
        <v>12</v>
      </c>
      <c r="C10" s="11" t="s">
        <v>11</v>
      </c>
      <c r="D10" s="11" t="s">
        <v>195</v>
      </c>
      <c r="E10" s="10"/>
      <c r="F10" s="12">
        <f>'BC năm 2025'!F10</f>
        <v>69</v>
      </c>
      <c r="G10" s="12">
        <v>172015115.80000001</v>
      </c>
      <c r="H10" s="12">
        <v>28850366.600000001</v>
      </c>
      <c r="I10" s="12">
        <v>23688798</v>
      </c>
      <c r="J10" s="12">
        <v>15012915.300000001</v>
      </c>
      <c r="K10" s="12">
        <v>4495899.9000000004</v>
      </c>
      <c r="L10" s="12">
        <v>7917981</v>
      </c>
      <c r="M10" s="12">
        <v>2676881</v>
      </c>
      <c r="N10" s="12">
        <v>4167530.2</v>
      </c>
      <c r="O10" s="12">
        <v>11483394.5</v>
      </c>
      <c r="P10" s="12">
        <v>1767817</v>
      </c>
      <c r="Q10" s="10"/>
      <c r="R10" s="10"/>
      <c r="S10" s="10"/>
      <c r="T10" s="10">
        <f t="shared" si="0"/>
        <v>100061583.50000001</v>
      </c>
      <c r="U10" s="24">
        <f>T10/'BC năm 2025'!T10</f>
        <v>0.90684758323524939</v>
      </c>
    </row>
    <row r="11" spans="1:21" ht="47.25" x14ac:dyDescent="0.25">
      <c r="A11" s="7">
        <v>5</v>
      </c>
      <c r="B11" s="11" t="s">
        <v>13</v>
      </c>
      <c r="C11" s="11" t="s">
        <v>14</v>
      </c>
      <c r="D11" s="11" t="s">
        <v>196</v>
      </c>
      <c r="E11" s="10"/>
      <c r="F11" s="12">
        <f>'BC năm 2025'!F11</f>
        <v>28.8</v>
      </c>
      <c r="G11" s="12">
        <v>88400000</v>
      </c>
      <c r="H11" s="12">
        <v>17328712</v>
      </c>
      <c r="I11" s="12">
        <v>13026868</v>
      </c>
      <c r="J11" s="12">
        <v>9870288</v>
      </c>
      <c r="K11" s="12">
        <v>4098812</v>
      </c>
      <c r="L11" s="12">
        <v>5370927</v>
      </c>
      <c r="M11" s="12">
        <v>2730515</v>
      </c>
      <c r="N11" s="12">
        <v>3184884</v>
      </c>
      <c r="O11" s="12">
        <v>6388525</v>
      </c>
      <c r="P11" s="12">
        <v>1514014</v>
      </c>
      <c r="Q11" s="10"/>
      <c r="R11" s="10"/>
      <c r="S11" s="10"/>
      <c r="T11" s="10">
        <f t="shared" si="0"/>
        <v>63513545</v>
      </c>
      <c r="U11" s="24">
        <f>T11/'BC năm 2025'!T11</f>
        <v>1.0024094361945504</v>
      </c>
    </row>
    <row r="12" spans="1:21" ht="47.25" x14ac:dyDescent="0.25">
      <c r="A12" s="7">
        <v>6</v>
      </c>
      <c r="B12" s="11" t="s">
        <v>15</v>
      </c>
      <c r="C12" s="11" t="s">
        <v>16</v>
      </c>
      <c r="D12" s="11" t="s">
        <v>177</v>
      </c>
      <c r="E12" s="10"/>
      <c r="F12" s="12">
        <f>'BC năm 2025'!F12</f>
        <v>29.7</v>
      </c>
      <c r="G12" s="12">
        <v>67938978</v>
      </c>
      <c r="H12" s="12">
        <v>6168627.2000000002</v>
      </c>
      <c r="I12" s="12">
        <v>7690575</v>
      </c>
      <c r="J12" s="12">
        <v>6085015</v>
      </c>
      <c r="K12" s="12">
        <v>3676414.9</v>
      </c>
      <c r="L12" s="12">
        <v>3821507.4</v>
      </c>
      <c r="M12" s="12">
        <v>5524699.4000000004</v>
      </c>
      <c r="N12" s="12">
        <v>7551820.7000000002</v>
      </c>
      <c r="O12" s="12">
        <v>11436125.699999999</v>
      </c>
      <c r="P12" s="12">
        <v>2887050.6</v>
      </c>
      <c r="Q12" s="10"/>
      <c r="R12" s="10"/>
      <c r="S12" s="10"/>
      <c r="T12" s="10">
        <f t="shared" si="0"/>
        <v>54841835.899999999</v>
      </c>
      <c r="U12" s="24">
        <f>T12/'BC năm 2025'!T12</f>
        <v>1.0475520872284032</v>
      </c>
    </row>
    <row r="13" spans="1:21" ht="47.25" x14ac:dyDescent="0.25">
      <c r="A13" s="7">
        <v>7</v>
      </c>
      <c r="B13" s="11" t="s">
        <v>17</v>
      </c>
      <c r="C13" s="11" t="s">
        <v>18</v>
      </c>
      <c r="D13" s="11" t="s">
        <v>164</v>
      </c>
      <c r="E13" s="10"/>
      <c r="F13" s="12">
        <f>'BC năm 2025'!F13</f>
        <v>27.2</v>
      </c>
      <c r="G13" s="12">
        <v>70400000</v>
      </c>
      <c r="H13" s="12">
        <v>7005753</v>
      </c>
      <c r="I13" s="12">
        <v>7569941</v>
      </c>
      <c r="J13" s="12">
        <v>6280691</v>
      </c>
      <c r="K13" s="12">
        <v>4829014</v>
      </c>
      <c r="L13" s="12">
        <v>4165641</v>
      </c>
      <c r="M13" s="12">
        <v>4908097</v>
      </c>
      <c r="N13" s="12">
        <v>4940834</v>
      </c>
      <c r="O13" s="12">
        <v>7623266</v>
      </c>
      <c r="P13" s="12">
        <v>1603921</v>
      </c>
      <c r="Q13" s="10"/>
      <c r="R13" s="10"/>
      <c r="S13" s="10"/>
      <c r="T13" s="10">
        <f t="shared" si="0"/>
        <v>48927158</v>
      </c>
      <c r="U13" s="24">
        <f>T13/'BC năm 2025'!T13</f>
        <v>0.93439867207991145</v>
      </c>
    </row>
    <row r="14" spans="1:21" ht="47.25" x14ac:dyDescent="0.25">
      <c r="A14" s="7">
        <v>8</v>
      </c>
      <c r="B14" s="11" t="s">
        <v>19</v>
      </c>
      <c r="C14" s="11" t="s">
        <v>20</v>
      </c>
      <c r="D14" s="11" t="s">
        <v>177</v>
      </c>
      <c r="E14" s="10"/>
      <c r="F14" s="12">
        <f>'BC năm 2025'!F14</f>
        <v>46.2</v>
      </c>
      <c r="G14" s="12">
        <v>67051226</v>
      </c>
      <c r="H14" s="12">
        <v>3809130</v>
      </c>
      <c r="I14" s="12">
        <v>5142890</v>
      </c>
      <c r="J14" s="12">
        <v>5023700</v>
      </c>
      <c r="K14" s="12">
        <v>3082500</v>
      </c>
      <c r="L14" s="12">
        <v>2693720</v>
      </c>
      <c r="M14" s="12">
        <v>3191220</v>
      </c>
      <c r="N14" s="12">
        <v>4374070</v>
      </c>
      <c r="O14" s="12">
        <v>5477840</v>
      </c>
      <c r="P14" s="12">
        <v>3483700</v>
      </c>
      <c r="Q14" s="10"/>
      <c r="R14" s="10"/>
      <c r="S14" s="10"/>
      <c r="T14" s="10">
        <f t="shared" si="0"/>
        <v>36278770</v>
      </c>
      <c r="U14" s="24">
        <f>T14/'BC năm 2025'!T14</f>
        <v>0.67654646973523958</v>
      </c>
    </row>
    <row r="15" spans="1:21" ht="47.25" x14ac:dyDescent="0.25">
      <c r="A15" s="7">
        <v>9</v>
      </c>
      <c r="B15" s="11" t="s">
        <v>21</v>
      </c>
      <c r="C15" s="11" t="s">
        <v>22</v>
      </c>
      <c r="D15" s="11" t="s">
        <v>183</v>
      </c>
      <c r="E15" s="10"/>
      <c r="F15" s="13">
        <f>'BC năm 2025'!F15</f>
        <v>151.94999999999999</v>
      </c>
      <c r="G15" s="12">
        <v>283976400</v>
      </c>
      <c r="H15" s="12">
        <v>64201810</v>
      </c>
      <c r="I15" s="12">
        <v>44881997</v>
      </c>
      <c r="J15" s="12">
        <v>28905375</v>
      </c>
      <c r="K15" s="12">
        <v>8362600</v>
      </c>
      <c r="L15" s="12">
        <v>13094171</v>
      </c>
      <c r="M15" s="12">
        <v>4504643</v>
      </c>
      <c r="N15" s="12">
        <v>4474577</v>
      </c>
      <c r="O15" s="12">
        <v>11467699</v>
      </c>
      <c r="P15" s="12">
        <v>2953310</v>
      </c>
      <c r="Q15" s="10"/>
      <c r="R15" s="10"/>
      <c r="S15" s="10"/>
      <c r="T15" s="10">
        <f t="shared" si="0"/>
        <v>182846182</v>
      </c>
      <c r="U15" s="24">
        <f>T15/'BC năm 2025'!T15</f>
        <v>0.87453426072537632</v>
      </c>
    </row>
    <row r="16" spans="1:21" ht="47.25" x14ac:dyDescent="0.25">
      <c r="A16" s="7">
        <v>10</v>
      </c>
      <c r="B16" s="11" t="s">
        <v>23</v>
      </c>
      <c r="C16" s="11" t="s">
        <v>24</v>
      </c>
      <c r="D16" s="11" t="s">
        <v>197</v>
      </c>
      <c r="E16" s="10"/>
      <c r="F16" s="14">
        <f>'BC năm 2025'!F16</f>
        <v>39.375</v>
      </c>
      <c r="G16" s="12">
        <v>110895450</v>
      </c>
      <c r="H16" s="12">
        <v>21296156</v>
      </c>
      <c r="I16" s="12">
        <v>16130236</v>
      </c>
      <c r="J16" s="12">
        <v>10346207</v>
      </c>
      <c r="K16" s="12">
        <v>3498065</v>
      </c>
      <c r="L16" s="12">
        <v>4900623</v>
      </c>
      <c r="M16" s="12">
        <v>2104050</v>
      </c>
      <c r="N16" s="12">
        <v>2189809</v>
      </c>
      <c r="O16" s="12">
        <v>5574490</v>
      </c>
      <c r="P16" s="12">
        <v>1081147</v>
      </c>
      <c r="Q16" s="10"/>
      <c r="R16" s="10"/>
      <c r="S16" s="10"/>
      <c r="T16" s="10">
        <f t="shared" si="0"/>
        <v>67120783</v>
      </c>
      <c r="U16" s="24">
        <f>T16/'BC năm 2025'!T16</f>
        <v>0.92779427170575091</v>
      </c>
    </row>
    <row r="17" spans="1:21" ht="47.25" x14ac:dyDescent="0.25">
      <c r="A17" s="7">
        <v>11</v>
      </c>
      <c r="B17" s="11" t="s">
        <v>25</v>
      </c>
      <c r="C17" s="11" t="s">
        <v>26</v>
      </c>
      <c r="D17" s="11" t="s">
        <v>198</v>
      </c>
      <c r="E17" s="10"/>
      <c r="F17" s="12">
        <f>'BC năm 2025'!F17</f>
        <v>37.6</v>
      </c>
      <c r="G17" s="12">
        <v>86155093</v>
      </c>
      <c r="H17" s="12">
        <v>12084492</v>
      </c>
      <c r="I17" s="12">
        <v>9106298</v>
      </c>
      <c r="J17" s="12">
        <v>7108622</v>
      </c>
      <c r="K17" s="12">
        <v>2884567</v>
      </c>
      <c r="L17" s="12">
        <v>4029529</v>
      </c>
      <c r="M17" s="12">
        <v>5529432</v>
      </c>
      <c r="N17" s="12">
        <v>8079703</v>
      </c>
      <c r="O17" s="12">
        <v>11955636</v>
      </c>
      <c r="P17" s="12">
        <v>3164416</v>
      </c>
      <c r="Q17" s="10"/>
      <c r="R17" s="10"/>
      <c r="S17" s="10"/>
      <c r="T17" s="10">
        <f>SUM(H17:P17)</f>
        <v>63942695</v>
      </c>
      <c r="U17" s="24">
        <f>T17/'BC năm 2025'!T17</f>
        <v>0.93740635402486838</v>
      </c>
    </row>
    <row r="18" spans="1:21" ht="31.5" x14ac:dyDescent="0.25">
      <c r="A18" s="7">
        <v>12</v>
      </c>
      <c r="B18" s="11" t="s">
        <v>27</v>
      </c>
      <c r="C18" s="11" t="s">
        <v>28</v>
      </c>
      <c r="D18" s="11" t="s">
        <v>199</v>
      </c>
      <c r="E18" s="10"/>
      <c r="F18" s="12">
        <f>'BC năm 2025'!F18</f>
        <v>49.8</v>
      </c>
      <c r="G18" s="12">
        <v>12395150</v>
      </c>
      <c r="H18" s="12">
        <v>12395150</v>
      </c>
      <c r="I18" s="12">
        <v>14405370</v>
      </c>
      <c r="J18" s="12">
        <v>12147140</v>
      </c>
      <c r="K18" s="12">
        <v>7582170</v>
      </c>
      <c r="L18" s="12">
        <v>7582170</v>
      </c>
      <c r="M18" s="12">
        <v>7768100</v>
      </c>
      <c r="N18" s="12">
        <v>9570210</v>
      </c>
      <c r="O18" s="12">
        <v>13611330</v>
      </c>
      <c r="P18" s="12">
        <v>18822630</v>
      </c>
      <c r="Q18" s="10"/>
      <c r="R18" s="10"/>
      <c r="S18" s="10"/>
      <c r="T18" s="10">
        <f t="shared" si="0"/>
        <v>103884270</v>
      </c>
      <c r="U18" s="24">
        <f>T18/'BC năm 2025'!T18</f>
        <v>1.0966929226625739</v>
      </c>
    </row>
    <row r="19" spans="1:21" x14ac:dyDescent="0.25">
      <c r="A19" s="7"/>
      <c r="B19" s="29" t="s">
        <v>217</v>
      </c>
      <c r="C19" s="29"/>
      <c r="D19" s="29"/>
      <c r="E19" s="10">
        <f t="shared" ref="E19:S19" si="1">SUM(E7:E18)</f>
        <v>0</v>
      </c>
      <c r="F19" s="14">
        <f t="shared" si="1"/>
        <v>665.62499999999989</v>
      </c>
      <c r="G19" s="12">
        <f t="shared" si="1"/>
        <v>1531734695</v>
      </c>
      <c r="H19" s="12">
        <f t="shared" si="1"/>
        <v>242028823.80000001</v>
      </c>
      <c r="I19" s="12">
        <f t="shared" si="1"/>
        <v>202285126</v>
      </c>
      <c r="J19" s="12">
        <f t="shared" si="1"/>
        <v>148959678.59999999</v>
      </c>
      <c r="K19" s="12">
        <f t="shared" si="1"/>
        <v>75150761.5</v>
      </c>
      <c r="L19" s="12">
        <f t="shared" si="1"/>
        <v>83834994.400000006</v>
      </c>
      <c r="M19" s="12">
        <f t="shared" si="1"/>
        <v>77849454.400000006</v>
      </c>
      <c r="N19" s="12">
        <f t="shared" si="1"/>
        <v>95571140.900000006</v>
      </c>
      <c r="O19" s="12">
        <f t="shared" si="1"/>
        <v>141207153.19999999</v>
      </c>
      <c r="P19" s="12">
        <f t="shared" si="1"/>
        <v>52637289.600000001</v>
      </c>
      <c r="Q19" s="10">
        <f t="shared" si="1"/>
        <v>0</v>
      </c>
      <c r="R19" s="10">
        <f t="shared" si="1"/>
        <v>0</v>
      </c>
      <c r="S19" s="10">
        <f t="shared" si="1"/>
        <v>0</v>
      </c>
      <c r="T19" s="16">
        <f t="shared" si="0"/>
        <v>1119524422.3999999</v>
      </c>
      <c r="U19" s="28">
        <f>T19/'BC năm 2025'!T19</f>
        <v>0.95166273910632226</v>
      </c>
    </row>
    <row r="20" spans="1:21" x14ac:dyDescent="0.25">
      <c r="A20" s="7" t="s">
        <v>29</v>
      </c>
      <c r="B20" s="33" t="s">
        <v>201</v>
      </c>
      <c r="C20" s="33"/>
      <c r="D20" s="33"/>
      <c r="E20" s="8"/>
      <c r="F20" s="8"/>
      <c r="G20" s="8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f t="shared" si="0"/>
        <v>0</v>
      </c>
      <c r="U20" s="24"/>
    </row>
    <row r="21" spans="1:21" ht="47.25" x14ac:dyDescent="0.25">
      <c r="A21" s="7">
        <v>1</v>
      </c>
      <c r="B21" s="11" t="s">
        <v>30</v>
      </c>
      <c r="C21" s="11" t="s">
        <v>31</v>
      </c>
      <c r="D21" s="11" t="s">
        <v>164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f t="shared" si="0"/>
        <v>0</v>
      </c>
      <c r="U21" s="24"/>
    </row>
    <row r="22" spans="1:21" ht="47.25" x14ac:dyDescent="0.25">
      <c r="A22" s="7">
        <v>2</v>
      </c>
      <c r="B22" s="11" t="s">
        <v>32</v>
      </c>
      <c r="C22" s="11" t="s">
        <v>33</v>
      </c>
      <c r="D22" s="11" t="s">
        <v>165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f t="shared" si="0"/>
        <v>0</v>
      </c>
      <c r="U22" s="24"/>
    </row>
    <row r="23" spans="1:21" ht="47.25" x14ac:dyDescent="0.25">
      <c r="A23" s="7">
        <v>3</v>
      </c>
      <c r="B23" s="11" t="s">
        <v>34</v>
      </c>
      <c r="C23" s="11" t="s">
        <v>35</v>
      </c>
      <c r="D23" s="11" t="s">
        <v>166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f t="shared" si="0"/>
        <v>0</v>
      </c>
      <c r="U23" s="24"/>
    </row>
    <row r="24" spans="1:21" ht="31.5" x14ac:dyDescent="0.25">
      <c r="A24" s="7">
        <v>4</v>
      </c>
      <c r="B24" s="11" t="s">
        <v>36</v>
      </c>
      <c r="C24" s="11" t="s">
        <v>37</v>
      </c>
      <c r="D24" s="11" t="s">
        <v>167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f t="shared" si="0"/>
        <v>0</v>
      </c>
      <c r="U24" s="24"/>
    </row>
    <row r="25" spans="1:21" ht="47.25" x14ac:dyDescent="0.25">
      <c r="A25" s="7">
        <v>5</v>
      </c>
      <c r="B25" s="11" t="s">
        <v>38</v>
      </c>
      <c r="C25" s="11" t="s">
        <v>39</v>
      </c>
      <c r="D25" s="11" t="s">
        <v>139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f t="shared" si="0"/>
        <v>0</v>
      </c>
      <c r="U25" s="24"/>
    </row>
    <row r="26" spans="1:21" ht="47.25" x14ac:dyDescent="0.25">
      <c r="A26" s="7">
        <v>6</v>
      </c>
      <c r="B26" s="11" t="s">
        <v>40</v>
      </c>
      <c r="C26" s="11" t="s">
        <v>41</v>
      </c>
      <c r="D26" s="11" t="s">
        <v>168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f t="shared" si="0"/>
        <v>0</v>
      </c>
      <c r="U26" s="24"/>
    </row>
    <row r="27" spans="1:21" ht="47.25" x14ac:dyDescent="0.25">
      <c r="A27" s="7">
        <v>7</v>
      </c>
      <c r="B27" s="11" t="s">
        <v>42</v>
      </c>
      <c r="C27" s="11" t="s">
        <v>43</v>
      </c>
      <c r="D27" s="11" t="s">
        <v>169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f t="shared" si="0"/>
        <v>0</v>
      </c>
      <c r="U27" s="24"/>
    </row>
    <row r="28" spans="1:21" ht="47.25" x14ac:dyDescent="0.25">
      <c r="A28" s="7">
        <v>8</v>
      </c>
      <c r="B28" s="11" t="s">
        <v>44</v>
      </c>
      <c r="C28" s="11" t="s">
        <v>45</v>
      </c>
      <c r="D28" s="11" t="s">
        <v>170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f t="shared" si="0"/>
        <v>0</v>
      </c>
      <c r="U28" s="24"/>
    </row>
    <row r="29" spans="1:21" ht="47.25" x14ac:dyDescent="0.25">
      <c r="A29" s="7">
        <v>9</v>
      </c>
      <c r="B29" s="11" t="s">
        <v>46</v>
      </c>
      <c r="C29" s="11" t="s">
        <v>45</v>
      </c>
      <c r="D29" s="11" t="s">
        <v>171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f t="shared" si="0"/>
        <v>0</v>
      </c>
      <c r="U29" s="24"/>
    </row>
    <row r="30" spans="1:21" ht="47.25" x14ac:dyDescent="0.25">
      <c r="A30" s="7">
        <v>10</v>
      </c>
      <c r="B30" s="11" t="s">
        <v>47</v>
      </c>
      <c r="C30" s="11" t="s">
        <v>48</v>
      </c>
      <c r="D30" s="11" t="s">
        <v>167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f t="shared" si="0"/>
        <v>0</v>
      </c>
      <c r="U30" s="24"/>
    </row>
    <row r="31" spans="1:21" ht="47.25" x14ac:dyDescent="0.25">
      <c r="A31" s="7">
        <v>11</v>
      </c>
      <c r="B31" s="11" t="s">
        <v>49</v>
      </c>
      <c r="C31" s="11" t="s">
        <v>50</v>
      </c>
      <c r="D31" s="11" t="s">
        <v>172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f t="shared" si="0"/>
        <v>0</v>
      </c>
      <c r="U31" s="24"/>
    </row>
    <row r="32" spans="1:21" ht="47.25" x14ac:dyDescent="0.25">
      <c r="A32" s="7">
        <v>12</v>
      </c>
      <c r="B32" s="11" t="s">
        <v>51</v>
      </c>
      <c r="C32" s="11" t="s">
        <v>52</v>
      </c>
      <c r="D32" s="11" t="s">
        <v>173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f t="shared" si="0"/>
        <v>0</v>
      </c>
      <c r="U32" s="24"/>
    </row>
    <row r="33" spans="1:21" ht="47.25" x14ac:dyDescent="0.25">
      <c r="A33" s="7">
        <v>13</v>
      </c>
      <c r="B33" s="11" t="s">
        <v>53</v>
      </c>
      <c r="C33" s="11" t="s">
        <v>54</v>
      </c>
      <c r="D33" s="11" t="s">
        <v>174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f t="shared" si="0"/>
        <v>0</v>
      </c>
      <c r="U33" s="24"/>
    </row>
    <row r="34" spans="1:21" ht="47.25" x14ac:dyDescent="0.25">
      <c r="A34" s="7">
        <v>14</v>
      </c>
      <c r="B34" s="11" t="s">
        <v>55</v>
      </c>
      <c r="C34" s="11" t="s">
        <v>56</v>
      </c>
      <c r="D34" s="11" t="s">
        <v>174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f t="shared" si="0"/>
        <v>0</v>
      </c>
      <c r="U34" s="24"/>
    </row>
    <row r="35" spans="1:21" ht="47.25" x14ac:dyDescent="0.25">
      <c r="A35" s="7">
        <v>15</v>
      </c>
      <c r="B35" s="11" t="s">
        <v>57</v>
      </c>
      <c r="C35" s="11" t="s">
        <v>58</v>
      </c>
      <c r="D35" s="11" t="s">
        <v>175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f t="shared" si="0"/>
        <v>0</v>
      </c>
      <c r="U35" s="24"/>
    </row>
    <row r="36" spans="1:21" ht="63" x14ac:dyDescent="0.25">
      <c r="A36" s="7">
        <v>16</v>
      </c>
      <c r="B36" s="11" t="s">
        <v>59</v>
      </c>
      <c r="C36" s="11" t="s">
        <v>60</v>
      </c>
      <c r="D36" s="11" t="s">
        <v>176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f t="shared" si="0"/>
        <v>0</v>
      </c>
      <c r="U36" s="24"/>
    </row>
    <row r="37" spans="1:21" ht="63" x14ac:dyDescent="0.25">
      <c r="A37" s="7">
        <v>17</v>
      </c>
      <c r="B37" s="11" t="s">
        <v>61</v>
      </c>
      <c r="C37" s="11" t="s">
        <v>60</v>
      </c>
      <c r="D37" s="11" t="s">
        <v>176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f t="shared" si="0"/>
        <v>0</v>
      </c>
      <c r="U37" s="24"/>
    </row>
    <row r="38" spans="1:21" ht="47.25" x14ac:dyDescent="0.25">
      <c r="A38" s="7">
        <v>18</v>
      </c>
      <c r="B38" s="11" t="s">
        <v>62</v>
      </c>
      <c r="C38" s="11" t="s">
        <v>63</v>
      </c>
      <c r="D38" s="11" t="s">
        <v>177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f t="shared" si="0"/>
        <v>0</v>
      </c>
      <c r="U38" s="24"/>
    </row>
    <row r="39" spans="1:21" ht="47.25" x14ac:dyDescent="0.25">
      <c r="A39" s="7">
        <v>19</v>
      </c>
      <c r="B39" s="11" t="s">
        <v>64</v>
      </c>
      <c r="C39" s="11" t="s">
        <v>65</v>
      </c>
      <c r="D39" s="11" t="s">
        <v>177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f t="shared" si="0"/>
        <v>0</v>
      </c>
      <c r="U39" s="24"/>
    </row>
    <row r="40" spans="1:21" ht="47.25" x14ac:dyDescent="0.25">
      <c r="A40" s="7">
        <v>20</v>
      </c>
      <c r="B40" s="11" t="s">
        <v>66</v>
      </c>
      <c r="C40" s="11" t="s">
        <v>67</v>
      </c>
      <c r="D40" s="11" t="s">
        <v>164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f t="shared" si="0"/>
        <v>0</v>
      </c>
      <c r="U40" s="24"/>
    </row>
    <row r="41" spans="1:21" ht="47.25" x14ac:dyDescent="0.25">
      <c r="A41" s="7">
        <v>21</v>
      </c>
      <c r="B41" s="11" t="s">
        <v>68</v>
      </c>
      <c r="C41" s="11" t="s">
        <v>67</v>
      </c>
      <c r="D41" s="11" t="s">
        <v>178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f t="shared" si="0"/>
        <v>0</v>
      </c>
      <c r="U41" s="24"/>
    </row>
    <row r="42" spans="1:21" ht="47.25" x14ac:dyDescent="0.25">
      <c r="A42" s="7">
        <v>22</v>
      </c>
      <c r="B42" s="11" t="s">
        <v>69</v>
      </c>
      <c r="C42" s="11" t="s">
        <v>67</v>
      </c>
      <c r="D42" s="11" t="s">
        <v>179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f t="shared" si="0"/>
        <v>0</v>
      </c>
      <c r="U42" s="24"/>
    </row>
    <row r="43" spans="1:21" ht="47.25" x14ac:dyDescent="0.25">
      <c r="A43" s="7">
        <v>23</v>
      </c>
      <c r="B43" s="11" t="s">
        <v>70</v>
      </c>
      <c r="C43" s="11" t="s">
        <v>71</v>
      </c>
      <c r="D43" s="11" t="s">
        <v>180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f t="shared" si="0"/>
        <v>0</v>
      </c>
      <c r="U43" s="24"/>
    </row>
    <row r="44" spans="1:21" ht="31.5" x14ac:dyDescent="0.25">
      <c r="A44" s="7">
        <v>24</v>
      </c>
      <c r="B44" s="11" t="s">
        <v>72</v>
      </c>
      <c r="C44" s="11" t="s">
        <v>73</v>
      </c>
      <c r="D44" s="11" t="s">
        <v>181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f t="shared" si="0"/>
        <v>0</v>
      </c>
      <c r="U44" s="24"/>
    </row>
    <row r="45" spans="1:21" ht="47.25" x14ac:dyDescent="0.25">
      <c r="A45" s="7">
        <v>25</v>
      </c>
      <c r="B45" s="11" t="s">
        <v>74</v>
      </c>
      <c r="C45" s="11" t="s">
        <v>75</v>
      </c>
      <c r="D45" s="11" t="s">
        <v>182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f t="shared" si="0"/>
        <v>0</v>
      </c>
      <c r="U45" s="24"/>
    </row>
    <row r="46" spans="1:21" ht="47.25" x14ac:dyDescent="0.25">
      <c r="A46" s="7">
        <v>26</v>
      </c>
      <c r="B46" s="11" t="s">
        <v>76</v>
      </c>
      <c r="C46" s="11" t="s">
        <v>77</v>
      </c>
      <c r="D46" s="11" t="s">
        <v>164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f t="shared" si="0"/>
        <v>0</v>
      </c>
      <c r="U46" s="24"/>
    </row>
    <row r="47" spans="1:21" ht="47.25" x14ac:dyDescent="0.25">
      <c r="A47" s="7">
        <v>27</v>
      </c>
      <c r="B47" s="11" t="s">
        <v>78</v>
      </c>
      <c r="C47" s="11" t="s">
        <v>79</v>
      </c>
      <c r="D47" s="11" t="s">
        <v>164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f t="shared" si="0"/>
        <v>0</v>
      </c>
      <c r="U47" s="24"/>
    </row>
    <row r="48" spans="1:21" ht="47.25" x14ac:dyDescent="0.25">
      <c r="A48" s="7">
        <v>28</v>
      </c>
      <c r="B48" s="11" t="s">
        <v>80</v>
      </c>
      <c r="C48" s="11" t="s">
        <v>81</v>
      </c>
      <c r="D48" s="11" t="s">
        <v>183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f t="shared" si="0"/>
        <v>0</v>
      </c>
      <c r="U48" s="24"/>
    </row>
    <row r="49" spans="1:21" ht="47.25" x14ac:dyDescent="0.25">
      <c r="A49" s="7">
        <v>29</v>
      </c>
      <c r="B49" s="11" t="s">
        <v>82</v>
      </c>
      <c r="C49" s="11" t="s">
        <v>83</v>
      </c>
      <c r="D49" s="11" t="s">
        <v>184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f t="shared" si="0"/>
        <v>0</v>
      </c>
      <c r="U49" s="24"/>
    </row>
    <row r="50" spans="1:21" ht="63" x14ac:dyDescent="0.25">
      <c r="A50" s="7">
        <v>30</v>
      </c>
      <c r="B50" s="11" t="s">
        <v>84</v>
      </c>
      <c r="C50" s="11" t="s">
        <v>85</v>
      </c>
      <c r="D50" s="11" t="s">
        <v>185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f t="shared" si="0"/>
        <v>0</v>
      </c>
      <c r="U50" s="24"/>
    </row>
    <row r="51" spans="1:21" ht="47.25" x14ac:dyDescent="0.25">
      <c r="A51" s="7">
        <v>31</v>
      </c>
      <c r="B51" s="11" t="s">
        <v>86</v>
      </c>
      <c r="C51" s="11" t="s">
        <v>87</v>
      </c>
      <c r="D51" s="11" t="s">
        <v>186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f t="shared" si="0"/>
        <v>0</v>
      </c>
      <c r="U51" s="24"/>
    </row>
    <row r="52" spans="1:21" ht="47.25" x14ac:dyDescent="0.25">
      <c r="A52" s="7">
        <v>32</v>
      </c>
      <c r="B52" s="11" t="s">
        <v>88</v>
      </c>
      <c r="C52" s="11" t="s">
        <v>89</v>
      </c>
      <c r="D52" s="11" t="s">
        <v>186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f t="shared" si="0"/>
        <v>0</v>
      </c>
      <c r="U52" s="24"/>
    </row>
    <row r="53" spans="1:21" ht="47.25" x14ac:dyDescent="0.25">
      <c r="A53" s="7">
        <v>33</v>
      </c>
      <c r="B53" s="11" t="s">
        <v>90</v>
      </c>
      <c r="C53" s="11" t="s">
        <v>91</v>
      </c>
      <c r="D53" s="11" t="s">
        <v>187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f t="shared" si="0"/>
        <v>0</v>
      </c>
      <c r="U53" s="24"/>
    </row>
    <row r="54" spans="1:21" ht="47.25" x14ac:dyDescent="0.25">
      <c r="A54" s="7">
        <v>34</v>
      </c>
      <c r="B54" s="11" t="s">
        <v>92</v>
      </c>
      <c r="C54" s="11" t="s">
        <v>93</v>
      </c>
      <c r="D54" s="11" t="s">
        <v>188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f t="shared" si="0"/>
        <v>0</v>
      </c>
      <c r="U54" s="24"/>
    </row>
    <row r="55" spans="1:21" ht="47.25" x14ac:dyDescent="0.25">
      <c r="A55" s="7">
        <v>35</v>
      </c>
      <c r="B55" s="11" t="s">
        <v>94</v>
      </c>
      <c r="C55" s="11" t="s">
        <v>93</v>
      </c>
      <c r="D55" s="11" t="s">
        <v>188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f t="shared" si="0"/>
        <v>0</v>
      </c>
      <c r="U55" s="24"/>
    </row>
    <row r="56" spans="1:21" ht="47.25" x14ac:dyDescent="0.25">
      <c r="A56" s="7">
        <v>36</v>
      </c>
      <c r="B56" s="11" t="s">
        <v>95</v>
      </c>
      <c r="C56" s="11" t="s">
        <v>93</v>
      </c>
      <c r="D56" s="11" t="s">
        <v>188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f t="shared" si="0"/>
        <v>0</v>
      </c>
      <c r="U56" s="24"/>
    </row>
    <row r="57" spans="1:21" ht="47.25" x14ac:dyDescent="0.25">
      <c r="A57" s="7">
        <v>37</v>
      </c>
      <c r="B57" s="11" t="s">
        <v>96</v>
      </c>
      <c r="C57" s="11" t="s">
        <v>97</v>
      </c>
      <c r="D57" s="11" t="s">
        <v>189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f t="shared" si="0"/>
        <v>0</v>
      </c>
      <c r="U57" s="24"/>
    </row>
    <row r="58" spans="1:21" ht="47.25" x14ac:dyDescent="0.25">
      <c r="A58" s="7">
        <v>38</v>
      </c>
      <c r="B58" s="11" t="s">
        <v>98</v>
      </c>
      <c r="C58" s="11" t="s">
        <v>99</v>
      </c>
      <c r="D58" s="11" t="s">
        <v>190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f t="shared" si="0"/>
        <v>0</v>
      </c>
      <c r="U58" s="24"/>
    </row>
    <row r="59" spans="1:21" ht="47.25" x14ac:dyDescent="0.25">
      <c r="A59" s="7">
        <v>39</v>
      </c>
      <c r="B59" s="11" t="s">
        <v>100</v>
      </c>
      <c r="C59" s="11" t="s">
        <v>101</v>
      </c>
      <c r="D59" s="11" t="s">
        <v>191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f t="shared" si="0"/>
        <v>0</v>
      </c>
      <c r="U59" s="24"/>
    </row>
    <row r="60" spans="1:21" ht="47.25" x14ac:dyDescent="0.25">
      <c r="A60" s="7">
        <v>40</v>
      </c>
      <c r="B60" s="11" t="s">
        <v>102</v>
      </c>
      <c r="C60" s="11" t="s">
        <v>101</v>
      </c>
      <c r="D60" s="11" t="s">
        <v>191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f t="shared" si="0"/>
        <v>0</v>
      </c>
      <c r="U60" s="24"/>
    </row>
    <row r="61" spans="1:21" ht="47.25" x14ac:dyDescent="0.25">
      <c r="A61" s="7">
        <v>41</v>
      </c>
      <c r="B61" s="11" t="s">
        <v>103</v>
      </c>
      <c r="C61" s="11" t="s">
        <v>104</v>
      </c>
      <c r="D61" s="11" t="s">
        <v>192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f t="shared" si="0"/>
        <v>0</v>
      </c>
      <c r="U61" s="24"/>
    </row>
    <row r="62" spans="1:21" ht="47.25" x14ac:dyDescent="0.25">
      <c r="A62" s="7">
        <v>42</v>
      </c>
      <c r="B62" s="11" t="s">
        <v>105</v>
      </c>
      <c r="C62" s="11" t="s">
        <v>106</v>
      </c>
      <c r="D62" s="11" t="s">
        <v>193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f t="shared" si="0"/>
        <v>0</v>
      </c>
      <c r="U62" s="24"/>
    </row>
    <row r="63" spans="1:21" ht="47.25" x14ac:dyDescent="0.25">
      <c r="A63" s="7">
        <v>43</v>
      </c>
      <c r="B63" s="11" t="s">
        <v>107</v>
      </c>
      <c r="C63" s="11" t="s">
        <v>108</v>
      </c>
      <c r="D63" s="11" t="s">
        <v>214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f t="shared" si="0"/>
        <v>0</v>
      </c>
      <c r="U63" s="24"/>
    </row>
    <row r="64" spans="1:21" ht="47.25" x14ac:dyDescent="0.25">
      <c r="A64" s="7">
        <v>44</v>
      </c>
      <c r="B64" s="11" t="s">
        <v>109</v>
      </c>
      <c r="C64" s="11" t="s">
        <v>110</v>
      </c>
      <c r="D64" s="11" t="s">
        <v>166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f t="shared" si="0"/>
        <v>0</v>
      </c>
      <c r="U64" s="24"/>
    </row>
    <row r="65" spans="1:21" ht="47.25" x14ac:dyDescent="0.25">
      <c r="A65" s="7">
        <v>45</v>
      </c>
      <c r="B65" s="11" t="s">
        <v>111</v>
      </c>
      <c r="C65" s="11" t="s">
        <v>112</v>
      </c>
      <c r="D65" s="11" t="s">
        <v>194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f t="shared" si="0"/>
        <v>0</v>
      </c>
      <c r="U65" s="24"/>
    </row>
    <row r="66" spans="1:21" x14ac:dyDescent="0.25">
      <c r="A66" s="29" t="s">
        <v>217</v>
      </c>
      <c r="B66" s="29"/>
      <c r="C66" s="29"/>
      <c r="D66" s="29"/>
      <c r="E66" s="10">
        <f>SUM(E21:E65)</f>
        <v>0</v>
      </c>
      <c r="F66" s="10">
        <f t="shared" ref="F66:S66" si="2">SUM(F21:F65)</f>
        <v>0</v>
      </c>
      <c r="G66" s="10">
        <f t="shared" si="2"/>
        <v>0</v>
      </c>
      <c r="H66" s="10">
        <f t="shared" si="2"/>
        <v>0</v>
      </c>
      <c r="I66" s="10">
        <f t="shared" si="2"/>
        <v>0</v>
      </c>
      <c r="J66" s="10">
        <f t="shared" si="2"/>
        <v>0</v>
      </c>
      <c r="K66" s="10">
        <f t="shared" si="2"/>
        <v>0</v>
      </c>
      <c r="L66" s="10">
        <f t="shared" si="2"/>
        <v>0</v>
      </c>
      <c r="M66" s="10">
        <f t="shared" si="2"/>
        <v>0</v>
      </c>
      <c r="N66" s="10">
        <f t="shared" si="2"/>
        <v>0</v>
      </c>
      <c r="O66" s="10">
        <f t="shared" si="2"/>
        <v>0</v>
      </c>
      <c r="P66" s="10">
        <f t="shared" si="2"/>
        <v>0</v>
      </c>
      <c r="Q66" s="10">
        <f t="shared" si="2"/>
        <v>0</v>
      </c>
      <c r="R66" s="10">
        <f t="shared" si="2"/>
        <v>0</v>
      </c>
      <c r="S66" s="10">
        <f t="shared" si="2"/>
        <v>0</v>
      </c>
      <c r="T66" s="10">
        <f t="shared" si="0"/>
        <v>0</v>
      </c>
      <c r="U66" s="24"/>
    </row>
    <row r="67" spans="1:21" s="3" customFormat="1" x14ac:dyDescent="0.25">
      <c r="A67" s="7" t="s">
        <v>113</v>
      </c>
      <c r="B67" s="33" t="s">
        <v>126</v>
      </c>
      <c r="C67" s="33"/>
      <c r="D67" s="33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10">
        <f t="shared" si="0"/>
        <v>0</v>
      </c>
      <c r="U67" s="25"/>
    </row>
    <row r="68" spans="1:21" s="3" customFormat="1" ht="47.25" x14ac:dyDescent="0.25">
      <c r="A68" s="7">
        <v>1</v>
      </c>
      <c r="B68" s="11" t="s">
        <v>128</v>
      </c>
      <c r="C68" s="11" t="s">
        <v>129</v>
      </c>
      <c r="D68" s="11" t="s">
        <v>130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0">
        <f t="shared" si="0"/>
        <v>0</v>
      </c>
      <c r="U68" s="25"/>
    </row>
    <row r="69" spans="1:21" s="3" customFormat="1" ht="47.25" x14ac:dyDescent="0.25">
      <c r="A69" s="7">
        <v>2</v>
      </c>
      <c r="B69" s="11" t="s">
        <v>131</v>
      </c>
      <c r="C69" s="11" t="s">
        <v>129</v>
      </c>
      <c r="D69" s="11" t="s">
        <v>130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0">
        <f t="shared" si="0"/>
        <v>0</v>
      </c>
      <c r="U69" s="25"/>
    </row>
    <row r="70" spans="1:21" s="3" customFormat="1" ht="47.25" x14ac:dyDescent="0.25">
      <c r="A70" s="7">
        <v>3</v>
      </c>
      <c r="B70" s="11" t="s">
        <v>132</v>
      </c>
      <c r="C70" s="11" t="s">
        <v>129</v>
      </c>
      <c r="D70" s="11" t="s">
        <v>130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10">
        <f t="shared" ref="T70:T88" si="3">SUM(H70:S70)</f>
        <v>0</v>
      </c>
      <c r="U70" s="25"/>
    </row>
    <row r="71" spans="1:21" s="3" customFormat="1" ht="47.25" x14ac:dyDescent="0.25">
      <c r="A71" s="7">
        <v>4</v>
      </c>
      <c r="B71" s="11" t="s">
        <v>133</v>
      </c>
      <c r="C71" s="11" t="s">
        <v>134</v>
      </c>
      <c r="D71" s="11" t="s">
        <v>135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10">
        <f t="shared" si="3"/>
        <v>0</v>
      </c>
      <c r="U71" s="25"/>
    </row>
    <row r="72" spans="1:21" s="3" customFormat="1" ht="47.25" x14ac:dyDescent="0.25">
      <c r="A72" s="7">
        <v>5</v>
      </c>
      <c r="B72" s="11" t="s">
        <v>136</v>
      </c>
      <c r="C72" s="11" t="s">
        <v>134</v>
      </c>
      <c r="D72" s="11" t="s">
        <v>135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10">
        <f t="shared" si="3"/>
        <v>0</v>
      </c>
      <c r="U72" s="25"/>
    </row>
    <row r="73" spans="1:21" s="3" customFormat="1" ht="31.5" x14ac:dyDescent="0.25">
      <c r="A73" s="7">
        <v>6</v>
      </c>
      <c r="B73" s="11" t="s">
        <v>137</v>
      </c>
      <c r="C73" s="11" t="s">
        <v>138</v>
      </c>
      <c r="D73" s="11" t="s">
        <v>139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10">
        <f t="shared" si="3"/>
        <v>0</v>
      </c>
      <c r="U73" s="25"/>
    </row>
    <row r="74" spans="1:21" s="3" customFormat="1" ht="63" x14ac:dyDescent="0.25">
      <c r="A74" s="7">
        <v>7</v>
      </c>
      <c r="B74" s="11" t="s">
        <v>140</v>
      </c>
      <c r="C74" s="11" t="s">
        <v>141</v>
      </c>
      <c r="D74" s="11" t="s">
        <v>142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10">
        <f t="shared" si="3"/>
        <v>0</v>
      </c>
      <c r="U74" s="25"/>
    </row>
    <row r="75" spans="1:21" s="3" customFormat="1" ht="47.25" x14ac:dyDescent="0.25">
      <c r="A75" s="7">
        <v>8</v>
      </c>
      <c r="B75" s="11" t="s">
        <v>143</v>
      </c>
      <c r="C75" s="11" t="s">
        <v>144</v>
      </c>
      <c r="D75" s="11" t="s">
        <v>145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10">
        <f t="shared" si="3"/>
        <v>0</v>
      </c>
      <c r="U75" s="25"/>
    </row>
    <row r="76" spans="1:21" s="3" customFormat="1" ht="47.25" x14ac:dyDescent="0.25">
      <c r="A76" s="7">
        <v>9</v>
      </c>
      <c r="B76" s="11" t="s">
        <v>146</v>
      </c>
      <c r="C76" s="11" t="s">
        <v>147</v>
      </c>
      <c r="D76" s="11" t="s">
        <v>148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10">
        <f t="shared" si="3"/>
        <v>0</v>
      </c>
      <c r="U76" s="25"/>
    </row>
    <row r="77" spans="1:21" s="3" customFormat="1" ht="47.25" x14ac:dyDescent="0.25">
      <c r="A77" s="7">
        <v>10</v>
      </c>
      <c r="B77" s="11" t="s">
        <v>149</v>
      </c>
      <c r="C77" s="11" t="s">
        <v>150</v>
      </c>
      <c r="D77" s="11" t="s">
        <v>151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10">
        <f t="shared" si="3"/>
        <v>0</v>
      </c>
      <c r="U77" s="25"/>
    </row>
    <row r="78" spans="1:21" s="3" customFormat="1" ht="47.25" x14ac:dyDescent="0.25">
      <c r="A78" s="7">
        <v>11</v>
      </c>
      <c r="B78" s="11" t="s">
        <v>152</v>
      </c>
      <c r="C78" s="11" t="s">
        <v>153</v>
      </c>
      <c r="D78" s="11" t="s">
        <v>154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10">
        <f t="shared" si="3"/>
        <v>0</v>
      </c>
      <c r="U78" s="25"/>
    </row>
    <row r="79" spans="1:21" ht="31.5" x14ac:dyDescent="0.25">
      <c r="A79" s="7">
        <v>12</v>
      </c>
      <c r="B79" s="11" t="s">
        <v>155</v>
      </c>
      <c r="C79" s="11" t="s">
        <v>156</v>
      </c>
      <c r="D79" s="11" t="s">
        <v>157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f t="shared" si="3"/>
        <v>0</v>
      </c>
      <c r="U79" s="24"/>
    </row>
    <row r="80" spans="1:21" ht="31.5" x14ac:dyDescent="0.25">
      <c r="A80" s="7">
        <v>13</v>
      </c>
      <c r="B80" s="11" t="s">
        <v>158</v>
      </c>
      <c r="C80" s="11" t="s">
        <v>159</v>
      </c>
      <c r="D80" s="11" t="s">
        <v>160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f t="shared" si="3"/>
        <v>0</v>
      </c>
      <c r="U80" s="24"/>
    </row>
    <row r="81" spans="1:21" ht="31.5" x14ac:dyDescent="0.25">
      <c r="A81" s="7">
        <v>14</v>
      </c>
      <c r="B81" s="11" t="s">
        <v>161</v>
      </c>
      <c r="C81" s="11" t="s">
        <v>162</v>
      </c>
      <c r="D81" s="11" t="s">
        <v>163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f t="shared" si="3"/>
        <v>0</v>
      </c>
      <c r="U81" s="24"/>
    </row>
    <row r="82" spans="1:21" x14ac:dyDescent="0.25">
      <c r="A82" s="29" t="s">
        <v>217</v>
      </c>
      <c r="B82" s="29"/>
      <c r="C82" s="29"/>
      <c r="D82" s="29"/>
      <c r="E82" s="10">
        <f>SUM(E68:E81)</f>
        <v>0</v>
      </c>
      <c r="F82" s="10">
        <f t="shared" ref="F82:S82" si="4">SUM(F68:F81)</f>
        <v>0</v>
      </c>
      <c r="G82" s="10">
        <f t="shared" si="4"/>
        <v>0</v>
      </c>
      <c r="H82" s="10">
        <f t="shared" si="4"/>
        <v>0</v>
      </c>
      <c r="I82" s="10">
        <f t="shared" si="4"/>
        <v>0</v>
      </c>
      <c r="J82" s="10">
        <f t="shared" si="4"/>
        <v>0</v>
      </c>
      <c r="K82" s="10">
        <f t="shared" si="4"/>
        <v>0</v>
      </c>
      <c r="L82" s="10">
        <f t="shared" si="4"/>
        <v>0</v>
      </c>
      <c r="M82" s="10">
        <f t="shared" si="4"/>
        <v>0</v>
      </c>
      <c r="N82" s="10">
        <f t="shared" si="4"/>
        <v>0</v>
      </c>
      <c r="O82" s="10">
        <f t="shared" si="4"/>
        <v>0</v>
      </c>
      <c r="P82" s="10">
        <f t="shared" si="4"/>
        <v>0</v>
      </c>
      <c r="Q82" s="10">
        <f t="shared" si="4"/>
        <v>0</v>
      </c>
      <c r="R82" s="10">
        <f t="shared" si="4"/>
        <v>0</v>
      </c>
      <c r="S82" s="10">
        <f t="shared" si="4"/>
        <v>0</v>
      </c>
      <c r="T82" s="10">
        <f t="shared" si="3"/>
        <v>0</v>
      </c>
      <c r="U82" s="24"/>
    </row>
    <row r="83" spans="1:21" s="3" customFormat="1" x14ac:dyDescent="0.25">
      <c r="A83" s="7" t="s">
        <v>118</v>
      </c>
      <c r="B83" s="33" t="s">
        <v>114</v>
      </c>
      <c r="C83" s="33"/>
      <c r="D83" s="33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10">
        <f t="shared" si="3"/>
        <v>0</v>
      </c>
      <c r="U83" s="25"/>
    </row>
    <row r="84" spans="1:21" ht="47.25" x14ac:dyDescent="0.25">
      <c r="A84" s="7">
        <v>1</v>
      </c>
      <c r="B84" s="11" t="s">
        <v>115</v>
      </c>
      <c r="C84" s="11" t="s">
        <v>116</v>
      </c>
      <c r="D84" s="11" t="s">
        <v>117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f t="shared" si="3"/>
        <v>0</v>
      </c>
      <c r="U84" s="24"/>
    </row>
    <row r="85" spans="1:21" s="3" customFormat="1" x14ac:dyDescent="0.25">
      <c r="A85" s="7" t="s">
        <v>127</v>
      </c>
      <c r="B85" s="33" t="s">
        <v>119</v>
      </c>
      <c r="C85" s="33"/>
      <c r="D85" s="33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10">
        <f t="shared" si="3"/>
        <v>0</v>
      </c>
      <c r="U85" s="25"/>
    </row>
    <row r="86" spans="1:21" ht="47.25" x14ac:dyDescent="0.25">
      <c r="A86" s="7">
        <v>1</v>
      </c>
      <c r="B86" s="11" t="s">
        <v>120</v>
      </c>
      <c r="C86" s="11" t="s">
        <v>121</v>
      </c>
      <c r="D86" s="11" t="s">
        <v>122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f t="shared" si="3"/>
        <v>0</v>
      </c>
      <c r="U86" s="24"/>
    </row>
    <row r="87" spans="1:21" ht="47.25" x14ac:dyDescent="0.25">
      <c r="A87" s="7">
        <v>2</v>
      </c>
      <c r="B87" s="11" t="s">
        <v>123</v>
      </c>
      <c r="C87" s="11" t="s">
        <v>124</v>
      </c>
      <c r="D87" s="11" t="s">
        <v>125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f t="shared" si="3"/>
        <v>0</v>
      </c>
      <c r="U87" s="24"/>
    </row>
    <row r="88" spans="1:21" x14ac:dyDescent="0.25">
      <c r="A88" s="29" t="s">
        <v>217</v>
      </c>
      <c r="B88" s="29"/>
      <c r="C88" s="29"/>
      <c r="D88" s="29"/>
      <c r="E88" s="10">
        <f>SUM(E86:E87)</f>
        <v>0</v>
      </c>
      <c r="F88" s="10">
        <f t="shared" ref="F88:S88" si="5">SUM(F86:F87)</f>
        <v>0</v>
      </c>
      <c r="G88" s="10">
        <f t="shared" si="5"/>
        <v>0</v>
      </c>
      <c r="H88" s="10">
        <f t="shared" si="5"/>
        <v>0</v>
      </c>
      <c r="I88" s="10">
        <f t="shared" si="5"/>
        <v>0</v>
      </c>
      <c r="J88" s="10">
        <f t="shared" si="5"/>
        <v>0</v>
      </c>
      <c r="K88" s="10">
        <f t="shared" si="5"/>
        <v>0</v>
      </c>
      <c r="L88" s="10">
        <f t="shared" si="5"/>
        <v>0</v>
      </c>
      <c r="M88" s="10">
        <f t="shared" si="5"/>
        <v>0</v>
      </c>
      <c r="N88" s="10">
        <f t="shared" si="5"/>
        <v>0</v>
      </c>
      <c r="O88" s="10">
        <f t="shared" si="5"/>
        <v>0</v>
      </c>
      <c r="P88" s="10">
        <f t="shared" si="5"/>
        <v>0</v>
      </c>
      <c r="Q88" s="10">
        <f t="shared" si="5"/>
        <v>0</v>
      </c>
      <c r="R88" s="10">
        <f t="shared" si="5"/>
        <v>0</v>
      </c>
      <c r="S88" s="10">
        <f t="shared" si="5"/>
        <v>0</v>
      </c>
      <c r="T88" s="10">
        <f t="shared" si="3"/>
        <v>0</v>
      </c>
      <c r="U88" s="24"/>
    </row>
  </sheetData>
  <mergeCells count="20">
    <mergeCell ref="A82:D82"/>
    <mergeCell ref="B83:D83"/>
    <mergeCell ref="B85:D85"/>
    <mergeCell ref="A88:D88"/>
    <mergeCell ref="U4:U5"/>
    <mergeCell ref="B6:D6"/>
    <mergeCell ref="B19:D19"/>
    <mergeCell ref="B20:D20"/>
    <mergeCell ref="A66:D66"/>
    <mergeCell ref="B67:D67"/>
    <mergeCell ref="A1:U1"/>
    <mergeCell ref="A2:U2"/>
    <mergeCell ref="A4:A5"/>
    <mergeCell ref="B4:B5"/>
    <mergeCell ref="C4:C5"/>
    <mergeCell ref="D4:D5"/>
    <mergeCell ref="E4:F4"/>
    <mergeCell ref="G4:G5"/>
    <mergeCell ref="H4:S4"/>
    <mergeCell ref="T4:T5"/>
  </mergeCells>
  <printOptions horizontalCentered="1"/>
  <pageMargins left="0.25" right="0.25" top="0.75" bottom="0.75" header="0.3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"/>
  <sheetViews>
    <sheetView tabSelected="1" topLeftCell="B10" zoomScaleNormal="100" workbookViewId="0">
      <selection activeCell="S21" sqref="S21"/>
    </sheetView>
  </sheetViews>
  <sheetFormatPr defaultRowHeight="15.75" x14ac:dyDescent="0.25"/>
  <cols>
    <col min="1" max="1" width="5.140625" style="26" bestFit="1" customWidth="1"/>
    <col min="2" max="4" width="20.7109375" style="23" customWidth="1"/>
    <col min="5" max="5" width="6.5703125" style="23" bestFit="1" customWidth="1"/>
    <col min="6" max="6" width="8.42578125" style="23" bestFit="1" customWidth="1"/>
    <col min="7" max="7" width="16" style="23" bestFit="1" customWidth="1"/>
    <col min="8" max="10" width="14.28515625" style="23" bestFit="1" customWidth="1"/>
    <col min="11" max="13" width="13.140625" style="23" bestFit="1" customWidth="1"/>
    <col min="14" max="15" width="14.28515625" style="23" bestFit="1" customWidth="1"/>
    <col min="16" max="16" width="8.7109375" style="23" bestFit="1" customWidth="1"/>
    <col min="17" max="19" width="9.85546875" style="23" bestFit="1" customWidth="1"/>
    <col min="20" max="20" width="16" style="23" bestFit="1" customWidth="1"/>
    <col min="21" max="21" width="9.140625" style="23" bestFit="1" customWidth="1"/>
    <col min="22" max="16384" width="9.140625" style="23"/>
  </cols>
  <sheetData>
    <row r="1" spans="1:21" ht="18.75" customHeight="1" x14ac:dyDescent="0.25">
      <c r="A1" s="36" t="s">
        <v>218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 ht="18.75" customHeight="1" x14ac:dyDescent="0.25">
      <c r="A2" s="37" t="s">
        <v>219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</row>
    <row r="4" spans="1:21" s="26" customFormat="1" ht="27" customHeight="1" x14ac:dyDescent="0.25">
      <c r="A4" s="32" t="s">
        <v>0</v>
      </c>
      <c r="B4" s="32" t="s">
        <v>1</v>
      </c>
      <c r="C4" s="32" t="s">
        <v>2</v>
      </c>
      <c r="D4" s="32" t="s">
        <v>3</v>
      </c>
      <c r="E4" s="32" t="s">
        <v>4</v>
      </c>
      <c r="F4" s="32"/>
      <c r="G4" s="32" t="s">
        <v>224</v>
      </c>
      <c r="H4" s="32" t="s">
        <v>225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4" t="s">
        <v>221</v>
      </c>
      <c r="U4" s="29" t="s">
        <v>226</v>
      </c>
    </row>
    <row r="5" spans="1:21" s="26" customFormat="1" ht="27" customHeight="1" x14ac:dyDescent="0.25">
      <c r="A5" s="32"/>
      <c r="B5" s="32"/>
      <c r="C5" s="32"/>
      <c r="D5" s="32"/>
      <c r="E5" s="7" t="s">
        <v>215</v>
      </c>
      <c r="F5" s="7" t="s">
        <v>216</v>
      </c>
      <c r="G5" s="32"/>
      <c r="H5" s="7" t="s">
        <v>202</v>
      </c>
      <c r="I5" s="7" t="s">
        <v>203</v>
      </c>
      <c r="J5" s="7" t="s">
        <v>204</v>
      </c>
      <c r="K5" s="7" t="s">
        <v>205</v>
      </c>
      <c r="L5" s="7" t="s">
        <v>206</v>
      </c>
      <c r="M5" s="7" t="s">
        <v>207</v>
      </c>
      <c r="N5" s="7" t="s">
        <v>208</v>
      </c>
      <c r="O5" s="7" t="s">
        <v>209</v>
      </c>
      <c r="P5" s="7" t="s">
        <v>210</v>
      </c>
      <c r="Q5" s="7" t="s">
        <v>211</v>
      </c>
      <c r="R5" s="7" t="s">
        <v>212</v>
      </c>
      <c r="S5" s="7" t="s">
        <v>213</v>
      </c>
      <c r="T5" s="35"/>
      <c r="U5" s="29"/>
    </row>
    <row r="6" spans="1:21" x14ac:dyDescent="0.25">
      <c r="A6" s="7" t="s">
        <v>5</v>
      </c>
      <c r="B6" s="33" t="s">
        <v>200</v>
      </c>
      <c r="C6" s="33"/>
      <c r="D6" s="33"/>
      <c r="E6" s="8"/>
      <c r="F6" s="8"/>
      <c r="G6" s="8"/>
      <c r="H6" s="8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24"/>
    </row>
    <row r="7" spans="1:21" ht="47.25" x14ac:dyDescent="0.25">
      <c r="A7" s="7">
        <v>1</v>
      </c>
      <c r="B7" s="11" t="s">
        <v>6</v>
      </c>
      <c r="C7" s="11" t="s">
        <v>7</v>
      </c>
      <c r="D7" s="11" t="s">
        <v>164</v>
      </c>
      <c r="E7" s="10"/>
      <c r="F7" s="12">
        <f>'BC năm 2025'!F7</f>
        <v>50</v>
      </c>
      <c r="G7" s="12">
        <f>'BC 15 hàng tháng'!G7</f>
        <v>135614593</v>
      </c>
      <c r="H7" s="12">
        <v>15408572</v>
      </c>
      <c r="I7" s="12">
        <v>15148881</v>
      </c>
      <c r="J7" s="12">
        <v>12024618</v>
      </c>
      <c r="K7" s="12">
        <v>8723450</v>
      </c>
      <c r="L7" s="12">
        <v>7432276</v>
      </c>
      <c r="M7" s="12">
        <v>11206429</v>
      </c>
      <c r="N7" s="12">
        <v>14007504</v>
      </c>
      <c r="O7" s="12">
        <v>18121954</v>
      </c>
      <c r="P7" s="10"/>
      <c r="Q7" s="10"/>
      <c r="R7" s="10"/>
      <c r="S7" s="10"/>
      <c r="T7" s="10">
        <f t="shared" ref="T7:T69" si="0">SUM(H7:S7)</f>
        <v>102073684</v>
      </c>
      <c r="U7" s="24"/>
    </row>
    <row r="8" spans="1:21" ht="47.25" x14ac:dyDescent="0.25">
      <c r="A8" s="7">
        <v>2</v>
      </c>
      <c r="B8" s="11" t="s">
        <v>8</v>
      </c>
      <c r="C8" s="11" t="s">
        <v>9</v>
      </c>
      <c r="D8" s="11" t="s">
        <v>164</v>
      </c>
      <c r="E8" s="10"/>
      <c r="F8" s="12">
        <f>'BC năm 2025'!F8</f>
        <v>88</v>
      </c>
      <c r="G8" s="12">
        <f>'BC 15 hàng tháng'!G8</f>
        <v>317230000</v>
      </c>
      <c r="H8" s="12">
        <v>30284554</v>
      </c>
      <c r="I8" s="12">
        <v>28229840</v>
      </c>
      <c r="J8" s="12">
        <v>24173657</v>
      </c>
      <c r="K8" s="12">
        <v>20425278</v>
      </c>
      <c r="L8" s="12">
        <v>16796752</v>
      </c>
      <c r="M8" s="12">
        <v>24962968</v>
      </c>
      <c r="N8" s="12">
        <v>29092945</v>
      </c>
      <c r="O8" s="12">
        <v>30349756</v>
      </c>
      <c r="P8" s="10"/>
      <c r="Q8" s="10"/>
      <c r="R8" s="10"/>
      <c r="S8" s="10"/>
      <c r="T8" s="10">
        <f t="shared" si="0"/>
        <v>204315750</v>
      </c>
      <c r="U8" s="24"/>
    </row>
    <row r="9" spans="1:21" ht="63" x14ac:dyDescent="0.25">
      <c r="A9" s="7">
        <v>3</v>
      </c>
      <c r="B9" s="11" t="s">
        <v>10</v>
      </c>
      <c r="C9" s="11" t="s">
        <v>11</v>
      </c>
      <c r="D9" s="11" t="s">
        <v>195</v>
      </c>
      <c r="E9" s="10"/>
      <c r="F9" s="12">
        <f>'BC năm 2025'!F9</f>
        <v>48</v>
      </c>
      <c r="G9" s="12">
        <f>'BC 15 hàng tháng'!G9</f>
        <v>119662689.2</v>
      </c>
      <c r="H9" s="12">
        <v>23195501</v>
      </c>
      <c r="I9" s="12">
        <v>17263432</v>
      </c>
      <c r="J9" s="12">
        <v>11981450.300000001</v>
      </c>
      <c r="K9" s="12">
        <v>3491990.7</v>
      </c>
      <c r="L9" s="12">
        <v>6029697</v>
      </c>
      <c r="M9" s="12">
        <v>2742420</v>
      </c>
      <c r="N9" s="12">
        <v>3937254</v>
      </c>
      <c r="O9" s="12">
        <v>7717137</v>
      </c>
      <c r="P9" s="10"/>
      <c r="Q9" s="10"/>
      <c r="R9" s="10"/>
      <c r="S9" s="10"/>
      <c r="T9" s="10">
        <f t="shared" si="0"/>
        <v>76358882</v>
      </c>
      <c r="U9" s="24"/>
    </row>
    <row r="10" spans="1:21" ht="63" x14ac:dyDescent="0.25">
      <c r="A10" s="7">
        <v>4</v>
      </c>
      <c r="B10" s="11" t="s">
        <v>12</v>
      </c>
      <c r="C10" s="11" t="s">
        <v>11</v>
      </c>
      <c r="D10" s="11" t="s">
        <v>195</v>
      </c>
      <c r="E10" s="10"/>
      <c r="F10" s="12">
        <f>'BC năm 2025'!F10</f>
        <v>69</v>
      </c>
      <c r="G10" s="12">
        <f>'BC 15 hàng tháng'!G10</f>
        <v>172015115.80000001</v>
      </c>
      <c r="H10" s="12">
        <v>28850366.600000001</v>
      </c>
      <c r="I10" s="12">
        <v>23688798</v>
      </c>
      <c r="J10" s="12">
        <v>15012915.300000001</v>
      </c>
      <c r="K10" s="12">
        <v>4495899.9000000004</v>
      </c>
      <c r="L10" s="12">
        <v>7917981</v>
      </c>
      <c r="M10" s="12">
        <v>2676881</v>
      </c>
      <c r="N10" s="12">
        <v>4167530.2</v>
      </c>
      <c r="O10" s="12">
        <v>11483394.5</v>
      </c>
      <c r="P10" s="10"/>
      <c r="Q10" s="10"/>
      <c r="R10" s="10"/>
      <c r="S10" s="10"/>
      <c r="T10" s="10">
        <f t="shared" si="0"/>
        <v>98293766.500000015</v>
      </c>
      <c r="U10" s="24"/>
    </row>
    <row r="11" spans="1:21" ht="47.25" x14ac:dyDescent="0.25">
      <c r="A11" s="7">
        <v>5</v>
      </c>
      <c r="B11" s="11" t="s">
        <v>13</v>
      </c>
      <c r="C11" s="11" t="s">
        <v>14</v>
      </c>
      <c r="D11" s="11" t="s">
        <v>196</v>
      </c>
      <c r="E11" s="10"/>
      <c r="F11" s="12">
        <f>'BC năm 2025'!F11</f>
        <v>28.8</v>
      </c>
      <c r="G11" s="12">
        <f>'BC 15 hàng tháng'!G11</f>
        <v>88400000</v>
      </c>
      <c r="H11" s="12">
        <v>17328712</v>
      </c>
      <c r="I11" s="12">
        <v>13026868</v>
      </c>
      <c r="J11" s="12">
        <v>9870288</v>
      </c>
      <c r="K11" s="12">
        <v>4098812</v>
      </c>
      <c r="L11" s="12">
        <v>5370927</v>
      </c>
      <c r="M11" s="12">
        <v>2730515</v>
      </c>
      <c r="N11" s="12">
        <v>3184884</v>
      </c>
      <c r="O11" s="12">
        <v>6388525</v>
      </c>
      <c r="P11" s="10"/>
      <c r="Q11" s="10"/>
      <c r="R11" s="10"/>
      <c r="S11" s="10"/>
      <c r="T11" s="10">
        <f t="shared" si="0"/>
        <v>61999531</v>
      </c>
      <c r="U11" s="24"/>
    </row>
    <row r="12" spans="1:21" ht="47.25" x14ac:dyDescent="0.25">
      <c r="A12" s="7">
        <v>6</v>
      </c>
      <c r="B12" s="11" t="s">
        <v>15</v>
      </c>
      <c r="C12" s="11" t="s">
        <v>16</v>
      </c>
      <c r="D12" s="11" t="s">
        <v>177</v>
      </c>
      <c r="E12" s="10"/>
      <c r="F12" s="12">
        <f>'BC năm 2025'!F12</f>
        <v>29.7</v>
      </c>
      <c r="G12" s="12">
        <f>'BC 15 hàng tháng'!G12</f>
        <v>67938978</v>
      </c>
      <c r="H12" s="12">
        <v>6168627.2000000002</v>
      </c>
      <c r="I12" s="12">
        <v>7690575</v>
      </c>
      <c r="J12" s="12">
        <v>6085015</v>
      </c>
      <c r="K12" s="12">
        <v>3676414.9</v>
      </c>
      <c r="L12" s="12">
        <v>3821507.4</v>
      </c>
      <c r="M12" s="12">
        <v>5524699.4000000004</v>
      </c>
      <c r="N12" s="12">
        <v>7551820.7000000002</v>
      </c>
      <c r="O12" s="12">
        <v>11436125.699999999</v>
      </c>
      <c r="P12" s="10"/>
      <c r="Q12" s="10"/>
      <c r="R12" s="10"/>
      <c r="S12" s="10"/>
      <c r="T12" s="10">
        <f t="shared" si="0"/>
        <v>51954785.299999997</v>
      </c>
      <c r="U12" s="24"/>
    </row>
    <row r="13" spans="1:21" ht="47.25" x14ac:dyDescent="0.25">
      <c r="A13" s="7">
        <v>7</v>
      </c>
      <c r="B13" s="11" t="s">
        <v>17</v>
      </c>
      <c r="C13" s="11" t="s">
        <v>18</v>
      </c>
      <c r="D13" s="11" t="s">
        <v>164</v>
      </c>
      <c r="E13" s="10"/>
      <c r="F13" s="12">
        <f>'BC năm 2025'!F13</f>
        <v>27.2</v>
      </c>
      <c r="G13" s="12">
        <f>'BC 15 hàng tháng'!G13</f>
        <v>70400000</v>
      </c>
      <c r="H13" s="12">
        <v>7005753</v>
      </c>
      <c r="I13" s="12">
        <v>7569941</v>
      </c>
      <c r="J13" s="12">
        <v>6280691</v>
      </c>
      <c r="K13" s="12">
        <v>4829014</v>
      </c>
      <c r="L13" s="12">
        <v>4165641</v>
      </c>
      <c r="M13" s="12">
        <v>4908097</v>
      </c>
      <c r="N13" s="12">
        <v>4940834</v>
      </c>
      <c r="O13" s="12">
        <v>7623266</v>
      </c>
      <c r="P13" s="10"/>
      <c r="Q13" s="10"/>
      <c r="R13" s="10"/>
      <c r="S13" s="10"/>
      <c r="T13" s="10">
        <f t="shared" si="0"/>
        <v>47323237</v>
      </c>
      <c r="U13" s="24"/>
    </row>
    <row r="14" spans="1:21" ht="47.25" x14ac:dyDescent="0.25">
      <c r="A14" s="7">
        <v>8</v>
      </c>
      <c r="B14" s="11" t="s">
        <v>19</v>
      </c>
      <c r="C14" s="11" t="s">
        <v>20</v>
      </c>
      <c r="D14" s="11" t="s">
        <v>177</v>
      </c>
      <c r="E14" s="10"/>
      <c r="F14" s="12">
        <f>'BC năm 2025'!F14</f>
        <v>46.2</v>
      </c>
      <c r="G14" s="12">
        <f>'BC 15 hàng tháng'!G14</f>
        <v>67051226</v>
      </c>
      <c r="H14" s="12">
        <v>6721807</v>
      </c>
      <c r="I14" s="12">
        <v>8256743</v>
      </c>
      <c r="J14" s="12">
        <v>6409240</v>
      </c>
      <c r="K14" s="12">
        <v>4236870</v>
      </c>
      <c r="L14" s="12">
        <v>4210350</v>
      </c>
      <c r="M14" s="12">
        <v>5685844</v>
      </c>
      <c r="N14" s="12">
        <v>8707539</v>
      </c>
      <c r="O14" s="12">
        <v>11988325</v>
      </c>
      <c r="P14" s="10"/>
      <c r="Q14" s="10"/>
      <c r="R14" s="10"/>
      <c r="S14" s="10"/>
      <c r="T14" s="10">
        <f t="shared" si="0"/>
        <v>56216718</v>
      </c>
      <c r="U14" s="24"/>
    </row>
    <row r="15" spans="1:21" ht="47.25" x14ac:dyDescent="0.25">
      <c r="A15" s="7">
        <v>9</v>
      </c>
      <c r="B15" s="11" t="s">
        <v>21</v>
      </c>
      <c r="C15" s="11" t="s">
        <v>22</v>
      </c>
      <c r="D15" s="11" t="s">
        <v>183</v>
      </c>
      <c r="E15" s="10"/>
      <c r="F15" s="13">
        <f>'BC năm 2025'!F15</f>
        <v>151.94999999999999</v>
      </c>
      <c r="G15" s="12">
        <f>'BC 15 hàng tháng'!G15</f>
        <v>283976400</v>
      </c>
      <c r="H15" s="12">
        <v>64201810</v>
      </c>
      <c r="I15" s="12">
        <v>44881997</v>
      </c>
      <c r="J15" s="12">
        <v>28905375</v>
      </c>
      <c r="K15" s="12">
        <v>8362600</v>
      </c>
      <c r="L15" s="12">
        <v>13094171</v>
      </c>
      <c r="M15" s="12">
        <v>4504643</v>
      </c>
      <c r="N15" s="12">
        <v>4474577</v>
      </c>
      <c r="O15" s="12">
        <v>11467699</v>
      </c>
      <c r="P15" s="10"/>
      <c r="Q15" s="10"/>
      <c r="R15" s="10"/>
      <c r="S15" s="10"/>
      <c r="T15" s="10">
        <f t="shared" si="0"/>
        <v>179892872</v>
      </c>
      <c r="U15" s="24"/>
    </row>
    <row r="16" spans="1:21" ht="47.25" x14ac:dyDescent="0.25">
      <c r="A16" s="7">
        <v>10</v>
      </c>
      <c r="B16" s="11" t="s">
        <v>23</v>
      </c>
      <c r="C16" s="11" t="s">
        <v>24</v>
      </c>
      <c r="D16" s="11" t="s">
        <v>197</v>
      </c>
      <c r="E16" s="10"/>
      <c r="F16" s="14">
        <f>'BC năm 2025'!F16</f>
        <v>39.375</v>
      </c>
      <c r="G16" s="12">
        <f>'BC 15 hàng tháng'!G16</f>
        <v>110895450</v>
      </c>
      <c r="H16" s="12">
        <v>21296156</v>
      </c>
      <c r="I16" s="12">
        <v>16130236</v>
      </c>
      <c r="J16" s="12">
        <v>10346207</v>
      </c>
      <c r="K16" s="12">
        <v>3498065</v>
      </c>
      <c r="L16" s="12">
        <v>4900623</v>
      </c>
      <c r="M16" s="12">
        <v>2104050</v>
      </c>
      <c r="N16" s="12">
        <v>2189809</v>
      </c>
      <c r="O16" s="12">
        <v>5574490</v>
      </c>
      <c r="P16" s="10"/>
      <c r="Q16" s="10"/>
      <c r="R16" s="10"/>
      <c r="S16" s="10"/>
      <c r="T16" s="10">
        <f t="shared" si="0"/>
        <v>66039636</v>
      </c>
      <c r="U16" s="24"/>
    </row>
    <row r="17" spans="1:21" ht="47.25" x14ac:dyDescent="0.25">
      <c r="A17" s="7">
        <v>11</v>
      </c>
      <c r="B17" s="11" t="s">
        <v>25</v>
      </c>
      <c r="C17" s="11" t="s">
        <v>26</v>
      </c>
      <c r="D17" s="11" t="s">
        <v>198</v>
      </c>
      <c r="E17" s="10"/>
      <c r="F17" s="12">
        <f>'BC năm 2025'!F17</f>
        <v>37.6</v>
      </c>
      <c r="G17" s="12">
        <f>'BC 15 hàng tháng'!G17</f>
        <v>86155093</v>
      </c>
      <c r="H17" s="12">
        <v>12084492</v>
      </c>
      <c r="I17" s="12">
        <v>9106298</v>
      </c>
      <c r="J17" s="12">
        <v>7108622</v>
      </c>
      <c r="K17" s="12">
        <v>2884567</v>
      </c>
      <c r="L17" s="12">
        <v>4029529</v>
      </c>
      <c r="M17" s="12">
        <v>5529432</v>
      </c>
      <c r="N17" s="12">
        <v>8079703</v>
      </c>
      <c r="O17" s="12">
        <v>11955636</v>
      </c>
      <c r="P17" s="10"/>
      <c r="Q17" s="10"/>
      <c r="R17" s="10"/>
      <c r="S17" s="10"/>
      <c r="T17" s="10">
        <f t="shared" si="0"/>
        <v>60778279</v>
      </c>
      <c r="U17" s="24"/>
    </row>
    <row r="18" spans="1:21" ht="31.5" x14ac:dyDescent="0.25">
      <c r="A18" s="7">
        <v>12</v>
      </c>
      <c r="B18" s="11" t="s">
        <v>27</v>
      </c>
      <c r="C18" s="11" t="s">
        <v>28</v>
      </c>
      <c r="D18" s="11" t="s">
        <v>199</v>
      </c>
      <c r="E18" s="10"/>
      <c r="F18" s="12">
        <f>'BC năm 2025'!F18</f>
        <v>49.8</v>
      </c>
      <c r="G18" s="12">
        <f>'BC 15 hàng tháng'!G18</f>
        <v>12395150</v>
      </c>
      <c r="H18" s="12">
        <v>14405370</v>
      </c>
      <c r="I18" s="12">
        <v>12147140</v>
      </c>
      <c r="J18" s="12">
        <v>7582170</v>
      </c>
      <c r="K18" s="12">
        <v>7582170</v>
      </c>
      <c r="L18" s="12">
        <v>7768100</v>
      </c>
      <c r="M18" s="12">
        <v>9570210</v>
      </c>
      <c r="N18" s="12">
        <v>13611330</v>
      </c>
      <c r="O18" s="12">
        <v>18822630</v>
      </c>
      <c r="P18" s="10"/>
      <c r="Q18" s="10"/>
      <c r="R18" s="10"/>
      <c r="S18" s="10"/>
      <c r="T18" s="10">
        <f t="shared" si="0"/>
        <v>91489120</v>
      </c>
      <c r="U18" s="24"/>
    </row>
    <row r="19" spans="1:21" x14ac:dyDescent="0.25">
      <c r="A19" s="7"/>
      <c r="B19" s="29" t="s">
        <v>217</v>
      </c>
      <c r="C19" s="29"/>
      <c r="D19" s="29"/>
      <c r="E19" s="10">
        <f t="shared" ref="E19:S19" si="1">SUM(E7:E18)</f>
        <v>0</v>
      </c>
      <c r="F19" s="14">
        <f t="shared" si="1"/>
        <v>665.62499999999989</v>
      </c>
      <c r="G19" s="12">
        <f t="shared" si="1"/>
        <v>1531734695</v>
      </c>
      <c r="H19" s="12">
        <f t="shared" si="1"/>
        <v>246951720.80000001</v>
      </c>
      <c r="I19" s="12">
        <f t="shared" si="1"/>
        <v>203140749</v>
      </c>
      <c r="J19" s="12">
        <f t="shared" si="1"/>
        <v>145780248.59999999</v>
      </c>
      <c r="K19" s="12">
        <f t="shared" si="1"/>
        <v>76305131.5</v>
      </c>
      <c r="L19" s="12">
        <f t="shared" si="1"/>
        <v>85537554.400000006</v>
      </c>
      <c r="M19" s="12">
        <f t="shared" si="1"/>
        <v>82146188.400000006</v>
      </c>
      <c r="N19" s="12">
        <f t="shared" si="1"/>
        <v>103945729.90000001</v>
      </c>
      <c r="O19" s="12">
        <f t="shared" si="1"/>
        <v>152928938.19999999</v>
      </c>
      <c r="P19" s="10">
        <f t="shared" si="1"/>
        <v>0</v>
      </c>
      <c r="Q19" s="10">
        <f t="shared" si="1"/>
        <v>0</v>
      </c>
      <c r="R19" s="10">
        <f t="shared" si="1"/>
        <v>0</v>
      </c>
      <c r="S19" s="10">
        <f t="shared" si="1"/>
        <v>0</v>
      </c>
      <c r="T19" s="8">
        <f t="shared" si="0"/>
        <v>1096736260.8</v>
      </c>
      <c r="U19" s="24"/>
    </row>
    <row r="20" spans="1:21" x14ac:dyDescent="0.25">
      <c r="A20" s="7" t="s">
        <v>29</v>
      </c>
      <c r="B20" s="33" t="s">
        <v>201</v>
      </c>
      <c r="C20" s="33"/>
      <c r="D20" s="33"/>
      <c r="E20" s="8"/>
      <c r="F20" s="8"/>
      <c r="G20" s="8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f t="shared" si="0"/>
        <v>0</v>
      </c>
      <c r="U20" s="24"/>
    </row>
    <row r="21" spans="1:21" ht="47.25" x14ac:dyDescent="0.25">
      <c r="A21" s="7">
        <v>1</v>
      </c>
      <c r="B21" s="11" t="s">
        <v>30</v>
      </c>
      <c r="C21" s="11" t="s">
        <v>31</v>
      </c>
      <c r="D21" s="11" t="s">
        <v>164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f t="shared" si="0"/>
        <v>0</v>
      </c>
      <c r="U21" s="24"/>
    </row>
    <row r="22" spans="1:21" ht="47.25" x14ac:dyDescent="0.25">
      <c r="A22" s="7">
        <v>2</v>
      </c>
      <c r="B22" s="11" t="s">
        <v>32</v>
      </c>
      <c r="C22" s="11" t="s">
        <v>33</v>
      </c>
      <c r="D22" s="11" t="s">
        <v>165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f t="shared" si="0"/>
        <v>0</v>
      </c>
      <c r="U22" s="24"/>
    </row>
    <row r="23" spans="1:21" ht="47.25" x14ac:dyDescent="0.25">
      <c r="A23" s="7">
        <v>3</v>
      </c>
      <c r="B23" s="11" t="s">
        <v>34</v>
      </c>
      <c r="C23" s="11" t="s">
        <v>35</v>
      </c>
      <c r="D23" s="11" t="s">
        <v>166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f t="shared" si="0"/>
        <v>0</v>
      </c>
      <c r="U23" s="24"/>
    </row>
    <row r="24" spans="1:21" ht="31.5" x14ac:dyDescent="0.25">
      <c r="A24" s="7">
        <v>4</v>
      </c>
      <c r="B24" s="11" t="s">
        <v>36</v>
      </c>
      <c r="C24" s="11" t="s">
        <v>37</v>
      </c>
      <c r="D24" s="11" t="s">
        <v>167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f t="shared" si="0"/>
        <v>0</v>
      </c>
      <c r="U24" s="24"/>
    </row>
    <row r="25" spans="1:21" ht="47.25" x14ac:dyDescent="0.25">
      <c r="A25" s="7">
        <v>5</v>
      </c>
      <c r="B25" s="11" t="s">
        <v>38</v>
      </c>
      <c r="C25" s="11" t="s">
        <v>39</v>
      </c>
      <c r="D25" s="11" t="s">
        <v>139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f t="shared" si="0"/>
        <v>0</v>
      </c>
      <c r="U25" s="24"/>
    </row>
    <row r="26" spans="1:21" ht="47.25" x14ac:dyDescent="0.25">
      <c r="A26" s="7">
        <v>6</v>
      </c>
      <c r="B26" s="11" t="s">
        <v>40</v>
      </c>
      <c r="C26" s="11" t="s">
        <v>41</v>
      </c>
      <c r="D26" s="11" t="s">
        <v>168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f t="shared" si="0"/>
        <v>0</v>
      </c>
      <c r="U26" s="24"/>
    </row>
    <row r="27" spans="1:21" ht="47.25" x14ac:dyDescent="0.25">
      <c r="A27" s="7">
        <v>7</v>
      </c>
      <c r="B27" s="11" t="s">
        <v>42</v>
      </c>
      <c r="C27" s="11" t="s">
        <v>43</v>
      </c>
      <c r="D27" s="11" t="s">
        <v>169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f t="shared" si="0"/>
        <v>0</v>
      </c>
      <c r="U27" s="24"/>
    </row>
    <row r="28" spans="1:21" ht="47.25" x14ac:dyDescent="0.25">
      <c r="A28" s="7">
        <v>8</v>
      </c>
      <c r="B28" s="11" t="s">
        <v>44</v>
      </c>
      <c r="C28" s="11" t="s">
        <v>45</v>
      </c>
      <c r="D28" s="11" t="s">
        <v>170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f t="shared" si="0"/>
        <v>0</v>
      </c>
      <c r="U28" s="24"/>
    </row>
    <row r="29" spans="1:21" ht="47.25" x14ac:dyDescent="0.25">
      <c r="A29" s="7">
        <v>9</v>
      </c>
      <c r="B29" s="11" t="s">
        <v>46</v>
      </c>
      <c r="C29" s="11" t="s">
        <v>45</v>
      </c>
      <c r="D29" s="11" t="s">
        <v>171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f t="shared" si="0"/>
        <v>0</v>
      </c>
      <c r="U29" s="24"/>
    </row>
    <row r="30" spans="1:21" ht="47.25" x14ac:dyDescent="0.25">
      <c r="A30" s="7">
        <v>10</v>
      </c>
      <c r="B30" s="11" t="s">
        <v>47</v>
      </c>
      <c r="C30" s="11" t="s">
        <v>48</v>
      </c>
      <c r="D30" s="11" t="s">
        <v>167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f t="shared" si="0"/>
        <v>0</v>
      </c>
      <c r="U30" s="24"/>
    </row>
    <row r="31" spans="1:21" ht="47.25" x14ac:dyDescent="0.25">
      <c r="A31" s="7">
        <v>11</v>
      </c>
      <c r="B31" s="11" t="s">
        <v>49</v>
      </c>
      <c r="C31" s="11" t="s">
        <v>50</v>
      </c>
      <c r="D31" s="11" t="s">
        <v>172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f t="shared" si="0"/>
        <v>0</v>
      </c>
      <c r="U31" s="24"/>
    </row>
    <row r="32" spans="1:21" ht="47.25" x14ac:dyDescent="0.25">
      <c r="A32" s="7">
        <v>12</v>
      </c>
      <c r="B32" s="11" t="s">
        <v>51</v>
      </c>
      <c r="C32" s="11" t="s">
        <v>52</v>
      </c>
      <c r="D32" s="11" t="s">
        <v>173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f t="shared" si="0"/>
        <v>0</v>
      </c>
      <c r="U32" s="24"/>
    </row>
    <row r="33" spans="1:21" ht="47.25" x14ac:dyDescent="0.25">
      <c r="A33" s="7">
        <v>13</v>
      </c>
      <c r="B33" s="11" t="s">
        <v>53</v>
      </c>
      <c r="C33" s="11" t="s">
        <v>54</v>
      </c>
      <c r="D33" s="11" t="s">
        <v>174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f t="shared" si="0"/>
        <v>0</v>
      </c>
      <c r="U33" s="24"/>
    </row>
    <row r="34" spans="1:21" ht="47.25" x14ac:dyDescent="0.25">
      <c r="A34" s="7">
        <v>14</v>
      </c>
      <c r="B34" s="11" t="s">
        <v>55</v>
      </c>
      <c r="C34" s="11" t="s">
        <v>56</v>
      </c>
      <c r="D34" s="11" t="s">
        <v>174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f t="shared" si="0"/>
        <v>0</v>
      </c>
      <c r="U34" s="24"/>
    </row>
    <row r="35" spans="1:21" ht="47.25" x14ac:dyDescent="0.25">
      <c r="A35" s="7">
        <v>15</v>
      </c>
      <c r="B35" s="11" t="s">
        <v>57</v>
      </c>
      <c r="C35" s="11" t="s">
        <v>58</v>
      </c>
      <c r="D35" s="11" t="s">
        <v>175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f t="shared" si="0"/>
        <v>0</v>
      </c>
      <c r="U35" s="24"/>
    </row>
    <row r="36" spans="1:21" ht="63" x14ac:dyDescent="0.25">
      <c r="A36" s="7">
        <v>16</v>
      </c>
      <c r="B36" s="11" t="s">
        <v>59</v>
      </c>
      <c r="C36" s="11" t="s">
        <v>60</v>
      </c>
      <c r="D36" s="11" t="s">
        <v>176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f t="shared" si="0"/>
        <v>0</v>
      </c>
      <c r="U36" s="24"/>
    </row>
    <row r="37" spans="1:21" ht="63" x14ac:dyDescent="0.25">
      <c r="A37" s="7">
        <v>17</v>
      </c>
      <c r="B37" s="11" t="s">
        <v>61</v>
      </c>
      <c r="C37" s="11" t="s">
        <v>60</v>
      </c>
      <c r="D37" s="11" t="s">
        <v>176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f t="shared" si="0"/>
        <v>0</v>
      </c>
      <c r="U37" s="24"/>
    </row>
    <row r="38" spans="1:21" ht="47.25" x14ac:dyDescent="0.25">
      <c r="A38" s="7">
        <v>18</v>
      </c>
      <c r="B38" s="11" t="s">
        <v>62</v>
      </c>
      <c r="C38" s="11" t="s">
        <v>63</v>
      </c>
      <c r="D38" s="11" t="s">
        <v>177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f t="shared" si="0"/>
        <v>0</v>
      </c>
      <c r="U38" s="24"/>
    </row>
    <row r="39" spans="1:21" ht="47.25" x14ac:dyDescent="0.25">
      <c r="A39" s="7">
        <v>19</v>
      </c>
      <c r="B39" s="11" t="s">
        <v>64</v>
      </c>
      <c r="C39" s="11" t="s">
        <v>65</v>
      </c>
      <c r="D39" s="11" t="s">
        <v>177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f t="shared" si="0"/>
        <v>0</v>
      </c>
      <c r="U39" s="24"/>
    </row>
    <row r="40" spans="1:21" ht="47.25" x14ac:dyDescent="0.25">
      <c r="A40" s="7">
        <v>20</v>
      </c>
      <c r="B40" s="11" t="s">
        <v>66</v>
      </c>
      <c r="C40" s="11" t="s">
        <v>67</v>
      </c>
      <c r="D40" s="11" t="s">
        <v>164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f t="shared" si="0"/>
        <v>0</v>
      </c>
      <c r="U40" s="24"/>
    </row>
    <row r="41" spans="1:21" ht="47.25" x14ac:dyDescent="0.25">
      <c r="A41" s="7">
        <v>21</v>
      </c>
      <c r="B41" s="11" t="s">
        <v>68</v>
      </c>
      <c r="C41" s="11" t="s">
        <v>67</v>
      </c>
      <c r="D41" s="11" t="s">
        <v>178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f t="shared" si="0"/>
        <v>0</v>
      </c>
      <c r="U41" s="24"/>
    </row>
    <row r="42" spans="1:21" ht="47.25" x14ac:dyDescent="0.25">
      <c r="A42" s="7">
        <v>22</v>
      </c>
      <c r="B42" s="11" t="s">
        <v>69</v>
      </c>
      <c r="C42" s="11" t="s">
        <v>67</v>
      </c>
      <c r="D42" s="11" t="s">
        <v>179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f t="shared" si="0"/>
        <v>0</v>
      </c>
      <c r="U42" s="24"/>
    </row>
    <row r="43" spans="1:21" ht="47.25" x14ac:dyDescent="0.25">
      <c r="A43" s="7">
        <v>23</v>
      </c>
      <c r="B43" s="11" t="s">
        <v>70</v>
      </c>
      <c r="C43" s="11" t="s">
        <v>71</v>
      </c>
      <c r="D43" s="11" t="s">
        <v>180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f t="shared" si="0"/>
        <v>0</v>
      </c>
      <c r="U43" s="24"/>
    </row>
    <row r="44" spans="1:21" ht="31.5" x14ac:dyDescent="0.25">
      <c r="A44" s="7">
        <v>24</v>
      </c>
      <c r="B44" s="11" t="s">
        <v>72</v>
      </c>
      <c r="C44" s="11" t="s">
        <v>73</v>
      </c>
      <c r="D44" s="11" t="s">
        <v>181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f t="shared" si="0"/>
        <v>0</v>
      </c>
      <c r="U44" s="24"/>
    </row>
    <row r="45" spans="1:21" ht="47.25" x14ac:dyDescent="0.25">
      <c r="A45" s="7">
        <v>25</v>
      </c>
      <c r="B45" s="11" t="s">
        <v>74</v>
      </c>
      <c r="C45" s="11" t="s">
        <v>75</v>
      </c>
      <c r="D45" s="11" t="s">
        <v>182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f t="shared" si="0"/>
        <v>0</v>
      </c>
      <c r="U45" s="24"/>
    </row>
    <row r="46" spans="1:21" ht="47.25" x14ac:dyDescent="0.25">
      <c r="A46" s="7">
        <v>26</v>
      </c>
      <c r="B46" s="11" t="s">
        <v>76</v>
      </c>
      <c r="C46" s="11" t="s">
        <v>77</v>
      </c>
      <c r="D46" s="11" t="s">
        <v>164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f t="shared" si="0"/>
        <v>0</v>
      </c>
      <c r="U46" s="24"/>
    </row>
    <row r="47" spans="1:21" ht="47.25" x14ac:dyDescent="0.25">
      <c r="A47" s="7">
        <v>27</v>
      </c>
      <c r="B47" s="11" t="s">
        <v>78</v>
      </c>
      <c r="C47" s="11" t="s">
        <v>79</v>
      </c>
      <c r="D47" s="11" t="s">
        <v>164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f t="shared" si="0"/>
        <v>0</v>
      </c>
      <c r="U47" s="24"/>
    </row>
    <row r="48" spans="1:21" ht="47.25" x14ac:dyDescent="0.25">
      <c r="A48" s="7">
        <v>28</v>
      </c>
      <c r="B48" s="11" t="s">
        <v>80</v>
      </c>
      <c r="C48" s="11" t="s">
        <v>81</v>
      </c>
      <c r="D48" s="11" t="s">
        <v>183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f t="shared" si="0"/>
        <v>0</v>
      </c>
      <c r="U48" s="24"/>
    </row>
    <row r="49" spans="1:21" ht="47.25" x14ac:dyDescent="0.25">
      <c r="A49" s="7">
        <v>29</v>
      </c>
      <c r="B49" s="11" t="s">
        <v>82</v>
      </c>
      <c r="C49" s="11" t="s">
        <v>83</v>
      </c>
      <c r="D49" s="11" t="s">
        <v>184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f t="shared" si="0"/>
        <v>0</v>
      </c>
      <c r="U49" s="24"/>
    </row>
    <row r="50" spans="1:21" ht="63" x14ac:dyDescent="0.25">
      <c r="A50" s="7">
        <v>30</v>
      </c>
      <c r="B50" s="11" t="s">
        <v>84</v>
      </c>
      <c r="C50" s="11" t="s">
        <v>85</v>
      </c>
      <c r="D50" s="11" t="s">
        <v>185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f t="shared" si="0"/>
        <v>0</v>
      </c>
      <c r="U50" s="24"/>
    </row>
    <row r="51" spans="1:21" ht="47.25" x14ac:dyDescent="0.25">
      <c r="A51" s="7">
        <v>31</v>
      </c>
      <c r="B51" s="11" t="s">
        <v>86</v>
      </c>
      <c r="C51" s="11" t="s">
        <v>87</v>
      </c>
      <c r="D51" s="11" t="s">
        <v>186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f t="shared" si="0"/>
        <v>0</v>
      </c>
      <c r="U51" s="24"/>
    </row>
    <row r="52" spans="1:21" ht="47.25" x14ac:dyDescent="0.25">
      <c r="A52" s="7">
        <v>32</v>
      </c>
      <c r="B52" s="11" t="s">
        <v>88</v>
      </c>
      <c r="C52" s="11" t="s">
        <v>89</v>
      </c>
      <c r="D52" s="11" t="s">
        <v>186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f t="shared" si="0"/>
        <v>0</v>
      </c>
      <c r="U52" s="24"/>
    </row>
    <row r="53" spans="1:21" ht="47.25" x14ac:dyDescent="0.25">
      <c r="A53" s="7">
        <v>33</v>
      </c>
      <c r="B53" s="11" t="s">
        <v>90</v>
      </c>
      <c r="C53" s="11" t="s">
        <v>91</v>
      </c>
      <c r="D53" s="11" t="s">
        <v>187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f t="shared" si="0"/>
        <v>0</v>
      </c>
      <c r="U53" s="24"/>
    </row>
    <row r="54" spans="1:21" ht="47.25" x14ac:dyDescent="0.25">
      <c r="A54" s="7">
        <v>34</v>
      </c>
      <c r="B54" s="11" t="s">
        <v>92</v>
      </c>
      <c r="C54" s="11" t="s">
        <v>93</v>
      </c>
      <c r="D54" s="11" t="s">
        <v>188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f t="shared" si="0"/>
        <v>0</v>
      </c>
      <c r="U54" s="24"/>
    </row>
    <row r="55" spans="1:21" ht="47.25" x14ac:dyDescent="0.25">
      <c r="A55" s="7">
        <v>35</v>
      </c>
      <c r="B55" s="11" t="s">
        <v>94</v>
      </c>
      <c r="C55" s="11" t="s">
        <v>93</v>
      </c>
      <c r="D55" s="11" t="s">
        <v>188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f t="shared" si="0"/>
        <v>0</v>
      </c>
      <c r="U55" s="24"/>
    </row>
    <row r="56" spans="1:21" ht="47.25" x14ac:dyDescent="0.25">
      <c r="A56" s="7">
        <v>36</v>
      </c>
      <c r="B56" s="11" t="s">
        <v>95</v>
      </c>
      <c r="C56" s="11" t="s">
        <v>93</v>
      </c>
      <c r="D56" s="11" t="s">
        <v>188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f t="shared" si="0"/>
        <v>0</v>
      </c>
      <c r="U56" s="24"/>
    </row>
    <row r="57" spans="1:21" ht="47.25" x14ac:dyDescent="0.25">
      <c r="A57" s="7">
        <v>37</v>
      </c>
      <c r="B57" s="11" t="s">
        <v>96</v>
      </c>
      <c r="C57" s="11" t="s">
        <v>97</v>
      </c>
      <c r="D57" s="11" t="s">
        <v>189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f t="shared" si="0"/>
        <v>0</v>
      </c>
      <c r="U57" s="24"/>
    </row>
    <row r="58" spans="1:21" ht="47.25" x14ac:dyDescent="0.25">
      <c r="A58" s="7">
        <v>38</v>
      </c>
      <c r="B58" s="11" t="s">
        <v>98</v>
      </c>
      <c r="C58" s="11" t="s">
        <v>99</v>
      </c>
      <c r="D58" s="11" t="s">
        <v>190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f t="shared" si="0"/>
        <v>0</v>
      </c>
      <c r="U58" s="24"/>
    </row>
    <row r="59" spans="1:21" ht="47.25" x14ac:dyDescent="0.25">
      <c r="A59" s="7">
        <v>39</v>
      </c>
      <c r="B59" s="11" t="s">
        <v>100</v>
      </c>
      <c r="C59" s="11" t="s">
        <v>101</v>
      </c>
      <c r="D59" s="11" t="s">
        <v>191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f t="shared" si="0"/>
        <v>0</v>
      </c>
      <c r="U59" s="24"/>
    </row>
    <row r="60" spans="1:21" ht="47.25" x14ac:dyDescent="0.25">
      <c r="A60" s="7">
        <v>40</v>
      </c>
      <c r="B60" s="11" t="s">
        <v>102</v>
      </c>
      <c r="C60" s="11" t="s">
        <v>101</v>
      </c>
      <c r="D60" s="11" t="s">
        <v>191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f t="shared" si="0"/>
        <v>0</v>
      </c>
      <c r="U60" s="24"/>
    </row>
    <row r="61" spans="1:21" ht="47.25" x14ac:dyDescent="0.25">
      <c r="A61" s="7">
        <v>41</v>
      </c>
      <c r="B61" s="11" t="s">
        <v>103</v>
      </c>
      <c r="C61" s="11" t="s">
        <v>104</v>
      </c>
      <c r="D61" s="11" t="s">
        <v>192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f t="shared" si="0"/>
        <v>0</v>
      </c>
      <c r="U61" s="24"/>
    </row>
    <row r="62" spans="1:21" ht="47.25" x14ac:dyDescent="0.25">
      <c r="A62" s="7">
        <v>42</v>
      </c>
      <c r="B62" s="11" t="s">
        <v>105</v>
      </c>
      <c r="C62" s="11" t="s">
        <v>106</v>
      </c>
      <c r="D62" s="11" t="s">
        <v>193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f t="shared" si="0"/>
        <v>0</v>
      </c>
      <c r="U62" s="24"/>
    </row>
    <row r="63" spans="1:21" ht="47.25" x14ac:dyDescent="0.25">
      <c r="A63" s="7">
        <v>43</v>
      </c>
      <c r="B63" s="11" t="s">
        <v>107</v>
      </c>
      <c r="C63" s="11" t="s">
        <v>108</v>
      </c>
      <c r="D63" s="11" t="s">
        <v>214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f t="shared" si="0"/>
        <v>0</v>
      </c>
      <c r="U63" s="24"/>
    </row>
    <row r="64" spans="1:21" ht="47.25" x14ac:dyDescent="0.25">
      <c r="A64" s="7">
        <v>44</v>
      </c>
      <c r="B64" s="11" t="s">
        <v>109</v>
      </c>
      <c r="C64" s="11" t="s">
        <v>110</v>
      </c>
      <c r="D64" s="11" t="s">
        <v>166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f t="shared" si="0"/>
        <v>0</v>
      </c>
      <c r="U64" s="24"/>
    </row>
    <row r="65" spans="1:21" ht="47.25" x14ac:dyDescent="0.25">
      <c r="A65" s="7">
        <v>45</v>
      </c>
      <c r="B65" s="11" t="s">
        <v>111</v>
      </c>
      <c r="C65" s="11" t="s">
        <v>112</v>
      </c>
      <c r="D65" s="11" t="s">
        <v>194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f t="shared" si="0"/>
        <v>0</v>
      </c>
      <c r="U65" s="24"/>
    </row>
    <row r="66" spans="1:21" x14ac:dyDescent="0.25">
      <c r="A66" s="29" t="s">
        <v>217</v>
      </c>
      <c r="B66" s="29"/>
      <c r="C66" s="29"/>
      <c r="D66" s="29"/>
      <c r="E66" s="10">
        <f>SUM(E21:E65)</f>
        <v>0</v>
      </c>
      <c r="F66" s="10">
        <f t="shared" ref="F66:S66" si="2">SUM(F21:F65)</f>
        <v>0</v>
      </c>
      <c r="G66" s="10">
        <f t="shared" si="2"/>
        <v>0</v>
      </c>
      <c r="H66" s="10">
        <f t="shared" si="2"/>
        <v>0</v>
      </c>
      <c r="I66" s="10">
        <f t="shared" si="2"/>
        <v>0</v>
      </c>
      <c r="J66" s="10">
        <f t="shared" si="2"/>
        <v>0</v>
      </c>
      <c r="K66" s="10">
        <f t="shared" si="2"/>
        <v>0</v>
      </c>
      <c r="L66" s="10">
        <f t="shared" si="2"/>
        <v>0</v>
      </c>
      <c r="M66" s="10">
        <f t="shared" si="2"/>
        <v>0</v>
      </c>
      <c r="N66" s="10">
        <f t="shared" si="2"/>
        <v>0</v>
      </c>
      <c r="O66" s="10">
        <f t="shared" si="2"/>
        <v>0</v>
      </c>
      <c r="P66" s="10">
        <f t="shared" si="2"/>
        <v>0</v>
      </c>
      <c r="Q66" s="10">
        <f t="shared" si="2"/>
        <v>0</v>
      </c>
      <c r="R66" s="10">
        <f t="shared" si="2"/>
        <v>0</v>
      </c>
      <c r="S66" s="10">
        <f t="shared" si="2"/>
        <v>0</v>
      </c>
      <c r="T66" s="10">
        <f t="shared" si="0"/>
        <v>0</v>
      </c>
      <c r="U66" s="24"/>
    </row>
    <row r="67" spans="1:21" s="27" customFormat="1" x14ac:dyDescent="0.25">
      <c r="A67" s="7" t="s">
        <v>113</v>
      </c>
      <c r="B67" s="33" t="s">
        <v>126</v>
      </c>
      <c r="C67" s="33"/>
      <c r="D67" s="33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10">
        <f t="shared" si="0"/>
        <v>0</v>
      </c>
      <c r="U67" s="25"/>
    </row>
    <row r="68" spans="1:21" s="27" customFormat="1" ht="47.25" x14ac:dyDescent="0.25">
      <c r="A68" s="7">
        <v>1</v>
      </c>
      <c r="B68" s="11" t="s">
        <v>128</v>
      </c>
      <c r="C68" s="11" t="s">
        <v>129</v>
      </c>
      <c r="D68" s="11" t="s">
        <v>130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0">
        <f t="shared" si="0"/>
        <v>0</v>
      </c>
      <c r="U68" s="25"/>
    </row>
    <row r="69" spans="1:21" s="27" customFormat="1" ht="47.25" x14ac:dyDescent="0.25">
      <c r="A69" s="7">
        <v>2</v>
      </c>
      <c r="B69" s="11" t="s">
        <v>131</v>
      </c>
      <c r="C69" s="11" t="s">
        <v>129</v>
      </c>
      <c r="D69" s="11" t="s">
        <v>130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0">
        <f t="shared" si="0"/>
        <v>0</v>
      </c>
      <c r="U69" s="25"/>
    </row>
    <row r="70" spans="1:21" s="27" customFormat="1" ht="47.25" x14ac:dyDescent="0.25">
      <c r="A70" s="7">
        <v>3</v>
      </c>
      <c r="B70" s="11" t="s">
        <v>132</v>
      </c>
      <c r="C70" s="11" t="s">
        <v>129</v>
      </c>
      <c r="D70" s="11" t="s">
        <v>130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10">
        <f t="shared" ref="T70:T88" si="3">SUM(H70:S70)</f>
        <v>0</v>
      </c>
      <c r="U70" s="25"/>
    </row>
    <row r="71" spans="1:21" s="27" customFormat="1" ht="47.25" x14ac:dyDescent="0.25">
      <c r="A71" s="7">
        <v>4</v>
      </c>
      <c r="B71" s="11" t="s">
        <v>133</v>
      </c>
      <c r="C71" s="11" t="s">
        <v>134</v>
      </c>
      <c r="D71" s="11" t="s">
        <v>135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10">
        <f t="shared" si="3"/>
        <v>0</v>
      </c>
      <c r="U71" s="25"/>
    </row>
    <row r="72" spans="1:21" s="27" customFormat="1" ht="47.25" x14ac:dyDescent="0.25">
      <c r="A72" s="7">
        <v>5</v>
      </c>
      <c r="B72" s="11" t="s">
        <v>136</v>
      </c>
      <c r="C72" s="11" t="s">
        <v>134</v>
      </c>
      <c r="D72" s="11" t="s">
        <v>135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10">
        <f t="shared" si="3"/>
        <v>0</v>
      </c>
      <c r="U72" s="25"/>
    </row>
    <row r="73" spans="1:21" s="27" customFormat="1" ht="31.5" x14ac:dyDescent="0.25">
      <c r="A73" s="7">
        <v>6</v>
      </c>
      <c r="B73" s="11" t="s">
        <v>137</v>
      </c>
      <c r="C73" s="11" t="s">
        <v>138</v>
      </c>
      <c r="D73" s="11" t="s">
        <v>139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10">
        <f t="shared" si="3"/>
        <v>0</v>
      </c>
      <c r="U73" s="25"/>
    </row>
    <row r="74" spans="1:21" s="27" customFormat="1" ht="63" x14ac:dyDescent="0.25">
      <c r="A74" s="7">
        <v>7</v>
      </c>
      <c r="B74" s="11" t="s">
        <v>140</v>
      </c>
      <c r="C74" s="11" t="s">
        <v>141</v>
      </c>
      <c r="D74" s="11" t="s">
        <v>142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10">
        <f t="shared" si="3"/>
        <v>0</v>
      </c>
      <c r="U74" s="25"/>
    </row>
    <row r="75" spans="1:21" s="27" customFormat="1" ht="47.25" x14ac:dyDescent="0.25">
      <c r="A75" s="7">
        <v>8</v>
      </c>
      <c r="B75" s="11" t="s">
        <v>143</v>
      </c>
      <c r="C75" s="11" t="s">
        <v>144</v>
      </c>
      <c r="D75" s="11" t="s">
        <v>145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10">
        <f t="shared" si="3"/>
        <v>0</v>
      </c>
      <c r="U75" s="25"/>
    </row>
    <row r="76" spans="1:21" s="27" customFormat="1" ht="47.25" x14ac:dyDescent="0.25">
      <c r="A76" s="7">
        <v>9</v>
      </c>
      <c r="B76" s="11" t="s">
        <v>146</v>
      </c>
      <c r="C76" s="11" t="s">
        <v>147</v>
      </c>
      <c r="D76" s="11" t="s">
        <v>148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10">
        <f t="shared" si="3"/>
        <v>0</v>
      </c>
      <c r="U76" s="25"/>
    </row>
    <row r="77" spans="1:21" s="27" customFormat="1" ht="47.25" x14ac:dyDescent="0.25">
      <c r="A77" s="7">
        <v>10</v>
      </c>
      <c r="B77" s="11" t="s">
        <v>149</v>
      </c>
      <c r="C77" s="11" t="s">
        <v>150</v>
      </c>
      <c r="D77" s="11" t="s">
        <v>151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10">
        <f t="shared" si="3"/>
        <v>0</v>
      </c>
      <c r="U77" s="25"/>
    </row>
    <row r="78" spans="1:21" s="27" customFormat="1" ht="47.25" x14ac:dyDescent="0.25">
      <c r="A78" s="7">
        <v>11</v>
      </c>
      <c r="B78" s="11" t="s">
        <v>152</v>
      </c>
      <c r="C78" s="11" t="s">
        <v>153</v>
      </c>
      <c r="D78" s="11" t="s">
        <v>154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10">
        <f t="shared" si="3"/>
        <v>0</v>
      </c>
      <c r="U78" s="25"/>
    </row>
    <row r="79" spans="1:21" ht="31.5" x14ac:dyDescent="0.25">
      <c r="A79" s="7">
        <v>12</v>
      </c>
      <c r="B79" s="11" t="s">
        <v>155</v>
      </c>
      <c r="C79" s="11" t="s">
        <v>156</v>
      </c>
      <c r="D79" s="11" t="s">
        <v>157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f t="shared" si="3"/>
        <v>0</v>
      </c>
      <c r="U79" s="24"/>
    </row>
    <row r="80" spans="1:21" ht="31.5" x14ac:dyDescent="0.25">
      <c r="A80" s="7">
        <v>13</v>
      </c>
      <c r="B80" s="11" t="s">
        <v>158</v>
      </c>
      <c r="C80" s="11" t="s">
        <v>159</v>
      </c>
      <c r="D80" s="11" t="s">
        <v>160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f t="shared" si="3"/>
        <v>0</v>
      </c>
      <c r="U80" s="24"/>
    </row>
    <row r="81" spans="1:21" ht="31.5" x14ac:dyDescent="0.25">
      <c r="A81" s="7">
        <v>14</v>
      </c>
      <c r="B81" s="11" t="s">
        <v>161</v>
      </c>
      <c r="C81" s="11" t="s">
        <v>162</v>
      </c>
      <c r="D81" s="11" t="s">
        <v>163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f t="shared" si="3"/>
        <v>0</v>
      </c>
      <c r="U81" s="24"/>
    </row>
    <row r="82" spans="1:21" x14ac:dyDescent="0.25">
      <c r="A82" s="29" t="s">
        <v>217</v>
      </c>
      <c r="B82" s="29"/>
      <c r="C82" s="29"/>
      <c r="D82" s="29"/>
      <c r="E82" s="10">
        <f>SUM(E68:E81)</f>
        <v>0</v>
      </c>
      <c r="F82" s="10">
        <f t="shared" ref="F82:S82" si="4">SUM(F68:F81)</f>
        <v>0</v>
      </c>
      <c r="G82" s="10">
        <f t="shared" si="4"/>
        <v>0</v>
      </c>
      <c r="H82" s="10">
        <f t="shared" si="4"/>
        <v>0</v>
      </c>
      <c r="I82" s="10">
        <f t="shared" si="4"/>
        <v>0</v>
      </c>
      <c r="J82" s="10">
        <f t="shared" si="4"/>
        <v>0</v>
      </c>
      <c r="K82" s="10">
        <f t="shared" si="4"/>
        <v>0</v>
      </c>
      <c r="L82" s="10">
        <f t="shared" si="4"/>
        <v>0</v>
      </c>
      <c r="M82" s="10">
        <f t="shared" si="4"/>
        <v>0</v>
      </c>
      <c r="N82" s="10">
        <f t="shared" si="4"/>
        <v>0</v>
      </c>
      <c r="O82" s="10">
        <f t="shared" si="4"/>
        <v>0</v>
      </c>
      <c r="P82" s="10">
        <f t="shared" si="4"/>
        <v>0</v>
      </c>
      <c r="Q82" s="10">
        <f t="shared" si="4"/>
        <v>0</v>
      </c>
      <c r="R82" s="10">
        <f t="shared" si="4"/>
        <v>0</v>
      </c>
      <c r="S82" s="10">
        <f t="shared" si="4"/>
        <v>0</v>
      </c>
      <c r="T82" s="10">
        <f t="shared" si="3"/>
        <v>0</v>
      </c>
      <c r="U82" s="24"/>
    </row>
    <row r="83" spans="1:21" s="27" customFormat="1" x14ac:dyDescent="0.25">
      <c r="A83" s="7" t="s">
        <v>118</v>
      </c>
      <c r="B83" s="33" t="s">
        <v>114</v>
      </c>
      <c r="C83" s="33"/>
      <c r="D83" s="33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10">
        <f t="shared" si="3"/>
        <v>0</v>
      </c>
      <c r="U83" s="25"/>
    </row>
    <row r="84" spans="1:21" ht="47.25" x14ac:dyDescent="0.25">
      <c r="A84" s="7">
        <v>1</v>
      </c>
      <c r="B84" s="11" t="s">
        <v>115</v>
      </c>
      <c r="C84" s="11" t="s">
        <v>116</v>
      </c>
      <c r="D84" s="11" t="s">
        <v>117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f t="shared" si="3"/>
        <v>0</v>
      </c>
      <c r="U84" s="24"/>
    </row>
    <row r="85" spans="1:21" s="27" customFormat="1" x14ac:dyDescent="0.25">
      <c r="A85" s="7" t="s">
        <v>127</v>
      </c>
      <c r="B85" s="33" t="s">
        <v>119</v>
      </c>
      <c r="C85" s="33"/>
      <c r="D85" s="33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10">
        <f t="shared" si="3"/>
        <v>0</v>
      </c>
      <c r="U85" s="25"/>
    </row>
    <row r="86" spans="1:21" ht="47.25" x14ac:dyDescent="0.25">
      <c r="A86" s="7">
        <v>1</v>
      </c>
      <c r="B86" s="11" t="s">
        <v>120</v>
      </c>
      <c r="C86" s="11" t="s">
        <v>121</v>
      </c>
      <c r="D86" s="11" t="s">
        <v>122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f t="shared" si="3"/>
        <v>0</v>
      </c>
      <c r="U86" s="24"/>
    </row>
    <row r="87" spans="1:21" ht="47.25" x14ac:dyDescent="0.25">
      <c r="A87" s="7">
        <v>2</v>
      </c>
      <c r="B87" s="11" t="s">
        <v>123</v>
      </c>
      <c r="C87" s="11" t="s">
        <v>124</v>
      </c>
      <c r="D87" s="11" t="s">
        <v>125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f t="shared" si="3"/>
        <v>0</v>
      </c>
      <c r="U87" s="24"/>
    </row>
    <row r="88" spans="1:21" x14ac:dyDescent="0.25">
      <c r="A88" s="29" t="s">
        <v>217</v>
      </c>
      <c r="B88" s="29"/>
      <c r="C88" s="29"/>
      <c r="D88" s="29"/>
      <c r="E88" s="10">
        <f>SUM(E86:E87)</f>
        <v>0</v>
      </c>
      <c r="F88" s="10">
        <f t="shared" ref="F88:S88" si="5">SUM(F86:F87)</f>
        <v>0</v>
      </c>
      <c r="G88" s="10">
        <f t="shared" si="5"/>
        <v>0</v>
      </c>
      <c r="H88" s="10">
        <f t="shared" si="5"/>
        <v>0</v>
      </c>
      <c r="I88" s="10">
        <f t="shared" si="5"/>
        <v>0</v>
      </c>
      <c r="J88" s="10">
        <f t="shared" si="5"/>
        <v>0</v>
      </c>
      <c r="K88" s="10">
        <f t="shared" si="5"/>
        <v>0</v>
      </c>
      <c r="L88" s="10">
        <f t="shared" si="5"/>
        <v>0</v>
      </c>
      <c r="M88" s="10">
        <f t="shared" si="5"/>
        <v>0</v>
      </c>
      <c r="N88" s="10">
        <f t="shared" si="5"/>
        <v>0</v>
      </c>
      <c r="O88" s="10">
        <f t="shared" si="5"/>
        <v>0</v>
      </c>
      <c r="P88" s="10">
        <f t="shared" si="5"/>
        <v>0</v>
      </c>
      <c r="Q88" s="10">
        <f t="shared" si="5"/>
        <v>0</v>
      </c>
      <c r="R88" s="10">
        <f t="shared" si="5"/>
        <v>0</v>
      </c>
      <c r="S88" s="10">
        <f t="shared" si="5"/>
        <v>0</v>
      </c>
      <c r="T88" s="10">
        <f t="shared" si="3"/>
        <v>0</v>
      </c>
      <c r="U88" s="24"/>
    </row>
  </sheetData>
  <mergeCells count="20">
    <mergeCell ref="B83:D83"/>
    <mergeCell ref="B85:D85"/>
    <mergeCell ref="A88:D88"/>
    <mergeCell ref="T4:T5"/>
    <mergeCell ref="U4:U5"/>
    <mergeCell ref="A66:D66"/>
    <mergeCell ref="B67:D67"/>
    <mergeCell ref="A82:D82"/>
    <mergeCell ref="A1:U1"/>
    <mergeCell ref="A2:U2"/>
    <mergeCell ref="B6:D6"/>
    <mergeCell ref="B19:D19"/>
    <mergeCell ref="B20:D20"/>
    <mergeCell ref="A4:A5"/>
    <mergeCell ref="B4:B5"/>
    <mergeCell ref="C4:C5"/>
    <mergeCell ref="D4:D5"/>
    <mergeCell ref="E4:F4"/>
    <mergeCell ref="G4:G5"/>
    <mergeCell ref="H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 năm 2025</vt:lpstr>
      <vt:lpstr>BC 15 hàng tháng</vt:lpstr>
      <vt:lpstr>BC hết tháng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2026-09-14T09:27:37Z</dcterms:modified>
</cp:coreProperties>
</file>