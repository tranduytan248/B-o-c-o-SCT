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HAI\BAO CAO\BC nam 2026\"/>
    </mc:Choice>
  </mc:AlternateContent>
  <xr:revisionPtr revIDLastSave="0" documentId="13_ncr:1_{693C15E4-9FC8-40DC-985C-11718B4B2679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Huong_dan" sheetId="1" r:id="rId1"/>
    <sheet name="DM_Doanh_nghiep" sheetId="2" r:id="rId2"/>
    <sheet name="Bao_cao_thang" sheetId="3" r:id="rId3"/>
    <sheet name="Tong_hop_lanh_dao" sheetId="4" r:id="rId4"/>
  </sheets>
  <calcPr calcId="191029"/>
</workbook>
</file>

<file path=xl/calcChain.xml><?xml version="1.0" encoding="utf-8"?>
<calcChain xmlns="http://schemas.openxmlformats.org/spreadsheetml/2006/main">
  <c r="H9" i="4" l="1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H6" i="4"/>
  <c r="G6" i="4"/>
  <c r="F6" i="4"/>
  <c r="E6" i="4"/>
  <c r="D6" i="4"/>
  <c r="C6" i="4"/>
  <c r="B6" i="4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H101" i="3"/>
  <c r="AF101" i="3"/>
  <c r="AE101" i="3"/>
  <c r="AG101" i="3" s="1"/>
  <c r="AC101" i="3"/>
  <c r="AD101" i="3" s="1"/>
  <c r="AA101" i="3"/>
  <c r="AB101" i="3" s="1"/>
  <c r="Y101" i="3"/>
  <c r="X101" i="3"/>
  <c r="Z101" i="3" s="1"/>
  <c r="V101" i="3"/>
  <c r="W101" i="3" s="1"/>
  <c r="T101" i="3"/>
  <c r="U101" i="3" s="1"/>
  <c r="R101" i="3"/>
  <c r="Q101" i="3"/>
  <c r="S101" i="3" s="1"/>
  <c r="O101" i="3"/>
  <c r="P101" i="3" s="1"/>
  <c r="M101" i="3"/>
  <c r="N101" i="3" s="1"/>
  <c r="E101" i="3"/>
  <c r="D101" i="3"/>
  <c r="C101" i="3"/>
  <c r="AI100" i="3"/>
  <c r="AH100" i="3"/>
  <c r="AF100" i="3"/>
  <c r="AE100" i="3"/>
  <c r="AG100" i="3" s="1"/>
  <c r="AC100" i="3"/>
  <c r="AD100" i="3" s="1"/>
  <c r="AA100" i="3"/>
  <c r="AB100" i="3" s="1"/>
  <c r="Y100" i="3"/>
  <c r="X100" i="3"/>
  <c r="Z100" i="3" s="1"/>
  <c r="V100" i="3"/>
  <c r="W100" i="3" s="1"/>
  <c r="T100" i="3"/>
  <c r="U100" i="3" s="1"/>
  <c r="S100" i="3"/>
  <c r="R100" i="3"/>
  <c r="Q100" i="3"/>
  <c r="O100" i="3"/>
  <c r="P100" i="3" s="1"/>
  <c r="M100" i="3"/>
  <c r="N100" i="3" s="1"/>
  <c r="E100" i="3"/>
  <c r="D100" i="3"/>
  <c r="C100" i="3"/>
  <c r="AI99" i="3"/>
  <c r="AH99" i="3"/>
  <c r="AG99" i="3"/>
  <c r="AF99" i="3"/>
  <c r="AE99" i="3"/>
  <c r="AC99" i="3"/>
  <c r="AD99" i="3" s="1"/>
  <c r="AA99" i="3"/>
  <c r="AB99" i="3" s="1"/>
  <c r="Z99" i="3"/>
  <c r="Y99" i="3"/>
  <c r="X99" i="3"/>
  <c r="V99" i="3"/>
  <c r="W99" i="3" s="1"/>
  <c r="U99" i="3"/>
  <c r="T99" i="3"/>
  <c r="R99" i="3"/>
  <c r="Q99" i="3"/>
  <c r="S99" i="3" s="1"/>
  <c r="O99" i="3"/>
  <c r="P99" i="3" s="1"/>
  <c r="N99" i="3"/>
  <c r="M99" i="3"/>
  <c r="E99" i="3"/>
  <c r="D99" i="3"/>
  <c r="C99" i="3"/>
  <c r="AI98" i="3"/>
  <c r="AH98" i="3"/>
  <c r="AF98" i="3"/>
  <c r="AE98" i="3"/>
  <c r="AG98" i="3" s="1"/>
  <c r="AC98" i="3"/>
  <c r="AD98" i="3" s="1"/>
  <c r="AB98" i="3"/>
  <c r="AA98" i="3"/>
  <c r="Z98" i="3"/>
  <c r="Y98" i="3"/>
  <c r="X98" i="3"/>
  <c r="W98" i="3"/>
  <c r="V98" i="3"/>
  <c r="U98" i="3"/>
  <c r="T98" i="3"/>
  <c r="R98" i="3"/>
  <c r="Q98" i="3"/>
  <c r="S98" i="3" s="1"/>
  <c r="P98" i="3"/>
  <c r="O98" i="3"/>
  <c r="N98" i="3"/>
  <c r="M98" i="3"/>
  <c r="E98" i="3"/>
  <c r="D98" i="3"/>
  <c r="C98" i="3"/>
  <c r="AI97" i="3"/>
  <c r="AH97" i="3"/>
  <c r="AF97" i="3"/>
  <c r="AE97" i="3"/>
  <c r="AG97" i="3" s="1"/>
  <c r="AD97" i="3"/>
  <c r="AC97" i="3"/>
  <c r="AB97" i="3"/>
  <c r="AA97" i="3"/>
  <c r="Y97" i="3"/>
  <c r="Z97" i="3" s="1"/>
  <c r="X97" i="3"/>
  <c r="W97" i="3"/>
  <c r="V97" i="3"/>
  <c r="T97" i="3"/>
  <c r="U97" i="3" s="1"/>
  <c r="S97" i="3"/>
  <c r="R97" i="3"/>
  <c r="Q97" i="3"/>
  <c r="P97" i="3"/>
  <c r="O97" i="3"/>
  <c r="M97" i="3"/>
  <c r="N97" i="3" s="1"/>
  <c r="E97" i="3"/>
  <c r="D97" i="3"/>
  <c r="C97" i="3"/>
  <c r="AI96" i="3"/>
  <c r="AH96" i="3"/>
  <c r="AG96" i="3"/>
  <c r="AF96" i="3"/>
  <c r="AE96" i="3"/>
  <c r="AD96" i="3"/>
  <c r="AC96" i="3"/>
  <c r="AA96" i="3"/>
  <c r="AB96" i="3" s="1"/>
  <c r="Y96" i="3"/>
  <c r="X96" i="3"/>
  <c r="Z96" i="3" s="1"/>
  <c r="V96" i="3"/>
  <c r="W96" i="3" s="1"/>
  <c r="U96" i="3"/>
  <c r="T96" i="3"/>
  <c r="R96" i="3"/>
  <c r="Q96" i="3"/>
  <c r="S96" i="3" s="1"/>
  <c r="O96" i="3"/>
  <c r="P96" i="3" s="1"/>
  <c r="M96" i="3"/>
  <c r="N96" i="3" s="1"/>
  <c r="E96" i="3"/>
  <c r="D96" i="3"/>
  <c r="C96" i="3"/>
  <c r="AI95" i="3"/>
  <c r="AH95" i="3"/>
  <c r="AF95" i="3"/>
  <c r="AE95" i="3"/>
  <c r="AG95" i="3" s="1"/>
  <c r="AC95" i="3"/>
  <c r="AD95" i="3" s="1"/>
  <c r="AA95" i="3"/>
  <c r="AB95" i="3" s="1"/>
  <c r="Y95" i="3"/>
  <c r="X95" i="3"/>
  <c r="Z95" i="3" s="1"/>
  <c r="W95" i="3"/>
  <c r="V95" i="3"/>
  <c r="T95" i="3"/>
  <c r="U95" i="3" s="1"/>
  <c r="R95" i="3"/>
  <c r="Q95" i="3"/>
  <c r="S95" i="3" s="1"/>
  <c r="O95" i="3"/>
  <c r="P95" i="3" s="1"/>
  <c r="N95" i="3"/>
  <c r="M95" i="3"/>
  <c r="E95" i="3"/>
  <c r="D95" i="3"/>
  <c r="C95" i="3"/>
  <c r="AI94" i="3"/>
  <c r="AH94" i="3"/>
  <c r="AF94" i="3"/>
  <c r="AE94" i="3"/>
  <c r="AG94" i="3" s="1"/>
  <c r="AC94" i="3"/>
  <c r="AD94" i="3" s="1"/>
  <c r="AB94" i="3"/>
  <c r="AA94" i="3"/>
  <c r="Y94" i="3"/>
  <c r="X94" i="3"/>
  <c r="Z94" i="3" s="1"/>
  <c r="V94" i="3"/>
  <c r="W94" i="3" s="1"/>
  <c r="T94" i="3"/>
  <c r="U94" i="3" s="1"/>
  <c r="S94" i="3"/>
  <c r="R94" i="3"/>
  <c r="Q94" i="3"/>
  <c r="P94" i="3"/>
  <c r="O94" i="3"/>
  <c r="M94" i="3"/>
  <c r="N94" i="3" s="1"/>
  <c r="E94" i="3"/>
  <c r="D94" i="3"/>
  <c r="C94" i="3"/>
  <c r="AI93" i="3"/>
  <c r="AH93" i="3"/>
  <c r="AG93" i="3"/>
  <c r="AF93" i="3"/>
  <c r="AE93" i="3"/>
  <c r="AD93" i="3"/>
  <c r="AC93" i="3"/>
  <c r="AA93" i="3"/>
  <c r="AB93" i="3" s="1"/>
  <c r="Y93" i="3"/>
  <c r="X93" i="3"/>
  <c r="Z93" i="3" s="1"/>
  <c r="V93" i="3"/>
  <c r="W93" i="3" s="1"/>
  <c r="U93" i="3"/>
  <c r="T93" i="3"/>
  <c r="R93" i="3"/>
  <c r="Q93" i="3"/>
  <c r="S93" i="3" s="1"/>
  <c r="O93" i="3"/>
  <c r="P93" i="3" s="1"/>
  <c r="N93" i="3"/>
  <c r="M93" i="3"/>
  <c r="E93" i="3"/>
  <c r="D93" i="3"/>
  <c r="C93" i="3"/>
  <c r="AI92" i="3"/>
  <c r="AH92" i="3"/>
  <c r="AF92" i="3"/>
  <c r="AE92" i="3"/>
  <c r="AG92" i="3" s="1"/>
  <c r="AC92" i="3"/>
  <c r="AD92" i="3" s="1"/>
  <c r="AB92" i="3"/>
  <c r="AA92" i="3"/>
  <c r="Z92" i="3"/>
  <c r="Y92" i="3"/>
  <c r="X92" i="3"/>
  <c r="W92" i="3"/>
  <c r="V92" i="3"/>
  <c r="T92" i="3"/>
  <c r="U92" i="3" s="1"/>
  <c r="R92" i="3"/>
  <c r="Q92" i="3"/>
  <c r="S92" i="3" s="1"/>
  <c r="P92" i="3"/>
  <c r="O92" i="3"/>
  <c r="N92" i="3"/>
  <c r="M92" i="3"/>
  <c r="E92" i="3"/>
  <c r="D92" i="3"/>
  <c r="C92" i="3"/>
  <c r="AI91" i="3"/>
  <c r="AH91" i="3"/>
  <c r="AF91" i="3"/>
  <c r="AE91" i="3"/>
  <c r="AG91" i="3" s="1"/>
  <c r="AD91" i="3"/>
  <c r="AC91" i="3"/>
  <c r="AB91" i="3"/>
  <c r="AA91" i="3"/>
  <c r="Y91" i="3"/>
  <c r="Z91" i="3" s="1"/>
  <c r="X91" i="3"/>
  <c r="V91" i="3"/>
  <c r="W91" i="3" s="1"/>
  <c r="U91" i="3"/>
  <c r="T91" i="3"/>
  <c r="S91" i="3"/>
  <c r="R91" i="3"/>
  <c r="Q91" i="3"/>
  <c r="P91" i="3"/>
  <c r="O91" i="3"/>
  <c r="M91" i="3"/>
  <c r="N91" i="3" s="1"/>
  <c r="E91" i="3"/>
  <c r="D91" i="3"/>
  <c r="C91" i="3"/>
  <c r="AI90" i="3"/>
  <c r="AH90" i="3"/>
  <c r="AG90" i="3"/>
  <c r="AF90" i="3"/>
  <c r="AE90" i="3"/>
  <c r="AD90" i="3"/>
  <c r="AC90" i="3"/>
  <c r="AA90" i="3"/>
  <c r="AB90" i="3" s="1"/>
  <c r="Y90" i="3"/>
  <c r="X90" i="3"/>
  <c r="Z90" i="3" s="1"/>
  <c r="W90" i="3"/>
  <c r="V90" i="3"/>
  <c r="U90" i="3"/>
  <c r="T90" i="3"/>
  <c r="R90" i="3"/>
  <c r="Q90" i="3"/>
  <c r="S90" i="3" s="1"/>
  <c r="O90" i="3"/>
  <c r="P90" i="3" s="1"/>
  <c r="M90" i="3"/>
  <c r="N90" i="3" s="1"/>
  <c r="E90" i="3"/>
  <c r="D90" i="3"/>
  <c r="C90" i="3"/>
  <c r="AI89" i="3"/>
  <c r="AH89" i="3"/>
  <c r="AF89" i="3"/>
  <c r="AE89" i="3"/>
  <c r="AG89" i="3" s="1"/>
  <c r="AC89" i="3"/>
  <c r="AD89" i="3" s="1"/>
  <c r="AA89" i="3"/>
  <c r="AB89" i="3" s="1"/>
  <c r="Z89" i="3"/>
  <c r="Y89" i="3"/>
  <c r="X89" i="3"/>
  <c r="W89" i="3"/>
  <c r="V89" i="3"/>
  <c r="T89" i="3"/>
  <c r="U89" i="3" s="1"/>
  <c r="R89" i="3"/>
  <c r="Q89" i="3"/>
  <c r="S89" i="3" s="1"/>
  <c r="O89" i="3"/>
  <c r="P89" i="3" s="1"/>
  <c r="N89" i="3"/>
  <c r="M89" i="3"/>
  <c r="E89" i="3"/>
  <c r="D89" i="3"/>
  <c r="C89" i="3"/>
  <c r="AI88" i="3"/>
  <c r="AH88" i="3"/>
  <c r="AF88" i="3"/>
  <c r="AE88" i="3"/>
  <c r="AG88" i="3" s="1"/>
  <c r="AC88" i="3"/>
  <c r="AD88" i="3" s="1"/>
  <c r="AB88" i="3"/>
  <c r="AA88" i="3"/>
  <c r="Y88" i="3"/>
  <c r="X88" i="3"/>
  <c r="V88" i="3"/>
  <c r="W88" i="3" s="1"/>
  <c r="U88" i="3"/>
  <c r="T88" i="3"/>
  <c r="S88" i="3"/>
  <c r="R88" i="3"/>
  <c r="Q88" i="3"/>
  <c r="P88" i="3"/>
  <c r="O88" i="3"/>
  <c r="M88" i="3"/>
  <c r="N88" i="3" s="1"/>
  <c r="E88" i="3"/>
  <c r="D88" i="3"/>
  <c r="C88" i="3"/>
  <c r="AI87" i="3"/>
  <c r="AH87" i="3"/>
  <c r="AG87" i="3"/>
  <c r="AF87" i="3"/>
  <c r="AE87" i="3"/>
  <c r="AD87" i="3"/>
  <c r="AC87" i="3"/>
  <c r="AA87" i="3"/>
  <c r="AB87" i="3" s="1"/>
  <c r="Y87" i="3"/>
  <c r="X87" i="3"/>
  <c r="Z87" i="3" s="1"/>
  <c r="W87" i="3"/>
  <c r="V87" i="3"/>
  <c r="U87" i="3"/>
  <c r="T87" i="3"/>
  <c r="R87" i="3"/>
  <c r="Q87" i="3"/>
  <c r="S87" i="3" s="1"/>
  <c r="O87" i="3"/>
  <c r="P87" i="3" s="1"/>
  <c r="N87" i="3"/>
  <c r="M87" i="3"/>
  <c r="E87" i="3"/>
  <c r="D87" i="3"/>
  <c r="C87" i="3"/>
  <c r="AI86" i="3"/>
  <c r="AH86" i="3"/>
  <c r="AF86" i="3"/>
  <c r="AE86" i="3"/>
  <c r="AG86" i="3" s="1"/>
  <c r="AC86" i="3"/>
  <c r="AD86" i="3" s="1"/>
  <c r="AB86" i="3"/>
  <c r="AA86" i="3"/>
  <c r="Z86" i="3"/>
  <c r="Y86" i="3"/>
  <c r="X86" i="3"/>
  <c r="W86" i="3"/>
  <c r="V86" i="3"/>
  <c r="T86" i="3"/>
  <c r="U86" i="3" s="1"/>
  <c r="R86" i="3"/>
  <c r="Q86" i="3"/>
  <c r="S86" i="3" s="1"/>
  <c r="P86" i="3"/>
  <c r="O86" i="3"/>
  <c r="N86" i="3"/>
  <c r="M86" i="3"/>
  <c r="E86" i="3"/>
  <c r="D86" i="3"/>
  <c r="C86" i="3"/>
  <c r="AI85" i="3"/>
  <c r="AH85" i="3"/>
  <c r="AF85" i="3"/>
  <c r="AE85" i="3"/>
  <c r="AG85" i="3" s="1"/>
  <c r="AD85" i="3"/>
  <c r="AC85" i="3"/>
  <c r="AB85" i="3"/>
  <c r="AA85" i="3"/>
  <c r="Y85" i="3"/>
  <c r="X85" i="3"/>
  <c r="Z85" i="3" s="1"/>
  <c r="V85" i="3"/>
  <c r="W85" i="3" s="1"/>
  <c r="U85" i="3"/>
  <c r="T85" i="3"/>
  <c r="S85" i="3"/>
  <c r="R85" i="3"/>
  <c r="Q85" i="3"/>
  <c r="P85" i="3"/>
  <c r="O85" i="3"/>
  <c r="M85" i="3"/>
  <c r="N85" i="3" s="1"/>
  <c r="E85" i="3"/>
  <c r="D85" i="3"/>
  <c r="C85" i="3"/>
  <c r="AI84" i="3"/>
  <c r="AH84" i="3"/>
  <c r="AG84" i="3"/>
  <c r="AF84" i="3"/>
  <c r="AE84" i="3"/>
  <c r="AD84" i="3"/>
  <c r="AC84" i="3"/>
  <c r="AA84" i="3"/>
  <c r="AB84" i="3" s="1"/>
  <c r="Y84" i="3"/>
  <c r="X84" i="3"/>
  <c r="Z84" i="3" s="1"/>
  <c r="W84" i="3"/>
  <c r="V84" i="3"/>
  <c r="U84" i="3"/>
  <c r="T84" i="3"/>
  <c r="R84" i="3"/>
  <c r="Q84" i="3"/>
  <c r="S84" i="3" s="1"/>
  <c r="O84" i="3"/>
  <c r="P84" i="3" s="1"/>
  <c r="M84" i="3"/>
  <c r="N84" i="3" s="1"/>
  <c r="E84" i="3"/>
  <c r="D84" i="3"/>
  <c r="C84" i="3"/>
  <c r="AI83" i="3"/>
  <c r="AH83" i="3"/>
  <c r="AF83" i="3"/>
  <c r="AE83" i="3"/>
  <c r="AG83" i="3" s="1"/>
  <c r="AC83" i="3"/>
  <c r="AD83" i="3" s="1"/>
  <c r="AA83" i="3"/>
  <c r="AB83" i="3" s="1"/>
  <c r="Z83" i="3"/>
  <c r="Y83" i="3"/>
  <c r="X83" i="3"/>
  <c r="W83" i="3"/>
  <c r="V83" i="3"/>
  <c r="T83" i="3"/>
  <c r="U83" i="3" s="1"/>
  <c r="R83" i="3"/>
  <c r="Q83" i="3"/>
  <c r="S83" i="3" s="1"/>
  <c r="O83" i="3"/>
  <c r="P83" i="3" s="1"/>
  <c r="N83" i="3"/>
  <c r="M83" i="3"/>
  <c r="E83" i="3"/>
  <c r="D83" i="3"/>
  <c r="C83" i="3"/>
  <c r="AI82" i="3"/>
  <c r="AH82" i="3"/>
  <c r="AF82" i="3"/>
  <c r="AE82" i="3"/>
  <c r="AG82" i="3" s="1"/>
  <c r="AC82" i="3"/>
  <c r="AD82" i="3" s="1"/>
  <c r="AB82" i="3"/>
  <c r="AA82" i="3"/>
  <c r="Y82" i="3"/>
  <c r="X82" i="3"/>
  <c r="V82" i="3"/>
  <c r="W82" i="3" s="1"/>
  <c r="U82" i="3"/>
  <c r="T82" i="3"/>
  <c r="S82" i="3"/>
  <c r="R82" i="3"/>
  <c r="Q82" i="3"/>
  <c r="P82" i="3"/>
  <c r="O82" i="3"/>
  <c r="M82" i="3"/>
  <c r="N82" i="3" s="1"/>
  <c r="E82" i="3"/>
  <c r="D82" i="3"/>
  <c r="C82" i="3"/>
  <c r="AI81" i="3"/>
  <c r="AH81" i="3"/>
  <c r="AG81" i="3"/>
  <c r="AF81" i="3"/>
  <c r="AE81" i="3"/>
  <c r="AD81" i="3"/>
  <c r="AC81" i="3"/>
  <c r="AA81" i="3"/>
  <c r="AB81" i="3" s="1"/>
  <c r="Y81" i="3"/>
  <c r="X81" i="3"/>
  <c r="Z81" i="3" s="1"/>
  <c r="W81" i="3"/>
  <c r="V81" i="3"/>
  <c r="U81" i="3"/>
  <c r="T81" i="3"/>
  <c r="R81" i="3"/>
  <c r="Q81" i="3"/>
  <c r="S81" i="3" s="1"/>
  <c r="O81" i="3"/>
  <c r="P81" i="3" s="1"/>
  <c r="N81" i="3"/>
  <c r="M81" i="3"/>
  <c r="E81" i="3"/>
  <c r="D81" i="3"/>
  <c r="C81" i="3"/>
  <c r="AI80" i="3"/>
  <c r="AH80" i="3"/>
  <c r="AF80" i="3"/>
  <c r="AE80" i="3"/>
  <c r="AG80" i="3" s="1"/>
  <c r="AC80" i="3"/>
  <c r="AD80" i="3" s="1"/>
  <c r="AB80" i="3"/>
  <c r="AA80" i="3"/>
  <c r="Z80" i="3"/>
  <c r="Y80" i="3"/>
  <c r="X80" i="3"/>
  <c r="W80" i="3"/>
  <c r="V80" i="3"/>
  <c r="T80" i="3"/>
  <c r="U80" i="3" s="1"/>
  <c r="R80" i="3"/>
  <c r="Q80" i="3"/>
  <c r="S80" i="3" s="1"/>
  <c r="P80" i="3"/>
  <c r="O80" i="3"/>
  <c r="N80" i="3"/>
  <c r="M80" i="3"/>
  <c r="E80" i="3"/>
  <c r="D80" i="3"/>
  <c r="C80" i="3"/>
  <c r="AI79" i="3"/>
  <c r="AH79" i="3"/>
  <c r="AF79" i="3"/>
  <c r="AE79" i="3"/>
  <c r="AG79" i="3" s="1"/>
  <c r="AD79" i="3"/>
  <c r="AC79" i="3"/>
  <c r="AB79" i="3"/>
  <c r="AA79" i="3"/>
  <c r="Y79" i="3"/>
  <c r="X79" i="3"/>
  <c r="Z79" i="3" s="1"/>
  <c r="V79" i="3"/>
  <c r="W79" i="3" s="1"/>
  <c r="U79" i="3"/>
  <c r="T79" i="3"/>
  <c r="S79" i="3"/>
  <c r="R79" i="3"/>
  <c r="Q79" i="3"/>
  <c r="P79" i="3"/>
  <c r="O79" i="3"/>
  <c r="M79" i="3"/>
  <c r="N79" i="3" s="1"/>
  <c r="E79" i="3"/>
  <c r="D79" i="3"/>
  <c r="C79" i="3"/>
  <c r="AI78" i="3"/>
  <c r="AH78" i="3"/>
  <c r="AG78" i="3"/>
  <c r="AF78" i="3"/>
  <c r="AE78" i="3"/>
  <c r="AD78" i="3"/>
  <c r="AC78" i="3"/>
  <c r="AA78" i="3"/>
  <c r="AB78" i="3" s="1"/>
  <c r="Y78" i="3"/>
  <c r="X78" i="3"/>
  <c r="Z78" i="3" s="1"/>
  <c r="W78" i="3"/>
  <c r="V78" i="3"/>
  <c r="U78" i="3"/>
  <c r="T78" i="3"/>
  <c r="R78" i="3"/>
  <c r="Q78" i="3"/>
  <c r="S78" i="3" s="1"/>
  <c r="O78" i="3"/>
  <c r="P78" i="3" s="1"/>
  <c r="M78" i="3"/>
  <c r="N78" i="3" s="1"/>
  <c r="E78" i="3"/>
  <c r="D78" i="3"/>
  <c r="C78" i="3"/>
  <c r="AI77" i="3"/>
  <c r="AH77" i="3"/>
  <c r="AF77" i="3"/>
  <c r="AE77" i="3"/>
  <c r="AG77" i="3" s="1"/>
  <c r="AC77" i="3"/>
  <c r="AD77" i="3" s="1"/>
  <c r="AA77" i="3"/>
  <c r="AB77" i="3" s="1"/>
  <c r="Z77" i="3"/>
  <c r="Y77" i="3"/>
  <c r="X77" i="3"/>
  <c r="W77" i="3"/>
  <c r="V77" i="3"/>
  <c r="T77" i="3"/>
  <c r="U77" i="3" s="1"/>
  <c r="R77" i="3"/>
  <c r="Q77" i="3"/>
  <c r="S77" i="3" s="1"/>
  <c r="O77" i="3"/>
  <c r="P77" i="3" s="1"/>
  <c r="N77" i="3"/>
  <c r="M77" i="3"/>
  <c r="E77" i="3"/>
  <c r="D77" i="3"/>
  <c r="C77" i="3"/>
  <c r="AI76" i="3"/>
  <c r="AH76" i="3"/>
  <c r="AF76" i="3"/>
  <c r="AE76" i="3"/>
  <c r="AG76" i="3" s="1"/>
  <c r="AC76" i="3"/>
  <c r="AD76" i="3" s="1"/>
  <c r="AB76" i="3"/>
  <c r="AA76" i="3"/>
  <c r="Y76" i="3"/>
  <c r="X76" i="3"/>
  <c r="V76" i="3"/>
  <c r="W76" i="3" s="1"/>
  <c r="U76" i="3"/>
  <c r="T76" i="3"/>
  <c r="S76" i="3"/>
  <c r="R76" i="3"/>
  <c r="Q76" i="3"/>
  <c r="P76" i="3"/>
  <c r="O76" i="3"/>
  <c r="M76" i="3"/>
  <c r="N76" i="3" s="1"/>
  <c r="E76" i="3"/>
  <c r="D76" i="3"/>
  <c r="C76" i="3"/>
  <c r="AI75" i="3"/>
  <c r="AH75" i="3"/>
  <c r="AG75" i="3"/>
  <c r="AF75" i="3"/>
  <c r="AE75" i="3"/>
  <c r="AD75" i="3"/>
  <c r="AC75" i="3"/>
  <c r="AA75" i="3"/>
  <c r="AB75" i="3" s="1"/>
  <c r="Z75" i="3"/>
  <c r="Y75" i="3"/>
  <c r="X75" i="3"/>
  <c r="W75" i="3"/>
  <c r="V75" i="3"/>
  <c r="U75" i="3"/>
  <c r="T75" i="3"/>
  <c r="R75" i="3"/>
  <c r="Q75" i="3"/>
  <c r="S75" i="3" s="1"/>
  <c r="O75" i="3"/>
  <c r="P75" i="3" s="1"/>
  <c r="N75" i="3"/>
  <c r="M75" i="3"/>
  <c r="E75" i="3"/>
  <c r="D75" i="3"/>
  <c r="C75" i="3"/>
  <c r="AI74" i="3"/>
  <c r="AH74" i="3"/>
  <c r="AF74" i="3"/>
  <c r="AE74" i="3"/>
  <c r="AG74" i="3" s="1"/>
  <c r="AC74" i="3"/>
  <c r="AD74" i="3" s="1"/>
  <c r="AB74" i="3"/>
  <c r="AA74" i="3"/>
  <c r="Z74" i="3"/>
  <c r="Y74" i="3"/>
  <c r="X74" i="3"/>
  <c r="W74" i="3"/>
  <c r="V74" i="3"/>
  <c r="T74" i="3"/>
  <c r="U74" i="3" s="1"/>
  <c r="R74" i="3"/>
  <c r="Q74" i="3"/>
  <c r="S74" i="3" s="1"/>
  <c r="P74" i="3"/>
  <c r="O74" i="3"/>
  <c r="N74" i="3"/>
  <c r="M74" i="3"/>
  <c r="E74" i="3"/>
  <c r="D74" i="3"/>
  <c r="C74" i="3"/>
  <c r="AI73" i="3"/>
  <c r="AH73" i="3"/>
  <c r="AF73" i="3"/>
  <c r="AE73" i="3"/>
  <c r="AG73" i="3" s="1"/>
  <c r="AD73" i="3"/>
  <c r="AC73" i="3"/>
  <c r="AB73" i="3"/>
  <c r="AA73" i="3"/>
  <c r="Y73" i="3"/>
  <c r="X73" i="3"/>
  <c r="Z73" i="3" s="1"/>
  <c r="V73" i="3"/>
  <c r="W73" i="3" s="1"/>
  <c r="U73" i="3"/>
  <c r="T73" i="3"/>
  <c r="S73" i="3"/>
  <c r="R73" i="3"/>
  <c r="Q73" i="3"/>
  <c r="P73" i="3"/>
  <c r="O73" i="3"/>
  <c r="M73" i="3"/>
  <c r="N73" i="3" s="1"/>
  <c r="E73" i="3"/>
  <c r="D73" i="3"/>
  <c r="C73" i="3"/>
  <c r="AI72" i="3"/>
  <c r="AH72" i="3"/>
  <c r="AG72" i="3"/>
  <c r="AF72" i="3"/>
  <c r="AE72" i="3"/>
  <c r="AD72" i="3"/>
  <c r="AC72" i="3"/>
  <c r="AA72" i="3"/>
  <c r="AB72" i="3" s="1"/>
  <c r="Y72" i="3"/>
  <c r="X72" i="3"/>
  <c r="Z72" i="3" s="1"/>
  <c r="W72" i="3"/>
  <c r="V72" i="3"/>
  <c r="U72" i="3"/>
  <c r="T72" i="3"/>
  <c r="R72" i="3"/>
  <c r="Q72" i="3"/>
  <c r="S72" i="3" s="1"/>
  <c r="O72" i="3"/>
  <c r="P72" i="3" s="1"/>
  <c r="M72" i="3"/>
  <c r="N72" i="3" s="1"/>
  <c r="E72" i="3"/>
  <c r="D72" i="3"/>
  <c r="C72" i="3"/>
  <c r="AI71" i="3"/>
  <c r="AH71" i="3"/>
  <c r="AF71" i="3"/>
  <c r="AE71" i="3"/>
  <c r="AG71" i="3" s="1"/>
  <c r="AC71" i="3"/>
  <c r="AD71" i="3" s="1"/>
  <c r="AA71" i="3"/>
  <c r="AB71" i="3" s="1"/>
  <c r="Z71" i="3"/>
  <c r="Y71" i="3"/>
  <c r="X71" i="3"/>
  <c r="W71" i="3"/>
  <c r="V71" i="3"/>
  <c r="T71" i="3"/>
  <c r="U71" i="3" s="1"/>
  <c r="R71" i="3"/>
  <c r="Q71" i="3"/>
  <c r="S71" i="3" s="1"/>
  <c r="O71" i="3"/>
  <c r="P71" i="3" s="1"/>
  <c r="N71" i="3"/>
  <c r="M71" i="3"/>
  <c r="E71" i="3"/>
  <c r="D71" i="3"/>
  <c r="C71" i="3"/>
  <c r="AI70" i="3"/>
  <c r="AH70" i="3"/>
  <c r="AF70" i="3"/>
  <c r="AE70" i="3"/>
  <c r="AG70" i="3" s="1"/>
  <c r="AC70" i="3"/>
  <c r="AD70" i="3" s="1"/>
  <c r="AB70" i="3"/>
  <c r="AA70" i="3"/>
  <c r="Y70" i="3"/>
  <c r="X70" i="3"/>
  <c r="Z70" i="3" s="1"/>
  <c r="V70" i="3"/>
  <c r="W70" i="3" s="1"/>
  <c r="U70" i="3"/>
  <c r="T70" i="3"/>
  <c r="S70" i="3"/>
  <c r="R70" i="3"/>
  <c r="Q70" i="3"/>
  <c r="P70" i="3"/>
  <c r="O70" i="3"/>
  <c r="M70" i="3"/>
  <c r="N70" i="3" s="1"/>
  <c r="E70" i="3"/>
  <c r="D70" i="3"/>
  <c r="C70" i="3"/>
  <c r="AI69" i="3"/>
  <c r="AH69" i="3"/>
  <c r="AG69" i="3"/>
  <c r="AF69" i="3"/>
  <c r="AE69" i="3"/>
  <c r="AD69" i="3"/>
  <c r="AC69" i="3"/>
  <c r="AA69" i="3"/>
  <c r="AB69" i="3" s="1"/>
  <c r="Z69" i="3"/>
  <c r="Y69" i="3"/>
  <c r="X69" i="3"/>
  <c r="W69" i="3"/>
  <c r="V69" i="3"/>
  <c r="U69" i="3"/>
  <c r="T69" i="3"/>
  <c r="R69" i="3"/>
  <c r="Q69" i="3"/>
  <c r="S69" i="3" s="1"/>
  <c r="O69" i="3"/>
  <c r="P69" i="3" s="1"/>
  <c r="N69" i="3"/>
  <c r="M69" i="3"/>
  <c r="E69" i="3"/>
  <c r="D69" i="3"/>
  <c r="C69" i="3"/>
  <c r="AI68" i="3"/>
  <c r="AH68" i="3"/>
  <c r="AF68" i="3"/>
  <c r="AE68" i="3"/>
  <c r="AG68" i="3" s="1"/>
  <c r="AC68" i="3"/>
  <c r="AD68" i="3" s="1"/>
  <c r="AB68" i="3"/>
  <c r="AA68" i="3"/>
  <c r="Z68" i="3"/>
  <c r="Y68" i="3"/>
  <c r="X68" i="3"/>
  <c r="W68" i="3"/>
  <c r="V68" i="3"/>
  <c r="T68" i="3"/>
  <c r="U68" i="3" s="1"/>
  <c r="R68" i="3"/>
  <c r="Q68" i="3"/>
  <c r="S68" i="3" s="1"/>
  <c r="P68" i="3"/>
  <c r="O68" i="3"/>
  <c r="N68" i="3"/>
  <c r="M68" i="3"/>
  <c r="E68" i="3"/>
  <c r="D68" i="3"/>
  <c r="C68" i="3"/>
  <c r="AI67" i="3"/>
  <c r="AH67" i="3"/>
  <c r="AF67" i="3"/>
  <c r="AE67" i="3"/>
  <c r="AG67" i="3" s="1"/>
  <c r="AD67" i="3"/>
  <c r="AC67" i="3"/>
  <c r="AB67" i="3"/>
  <c r="AA67" i="3"/>
  <c r="Y67" i="3"/>
  <c r="X67" i="3"/>
  <c r="Z67" i="3" s="1"/>
  <c r="V67" i="3"/>
  <c r="W67" i="3" s="1"/>
  <c r="U67" i="3"/>
  <c r="T67" i="3"/>
  <c r="S67" i="3"/>
  <c r="R67" i="3"/>
  <c r="Q67" i="3"/>
  <c r="P67" i="3"/>
  <c r="O67" i="3"/>
  <c r="M67" i="3"/>
  <c r="N67" i="3" s="1"/>
  <c r="E67" i="3"/>
  <c r="D67" i="3"/>
  <c r="C67" i="3"/>
  <c r="AI66" i="3"/>
  <c r="AH66" i="3"/>
  <c r="AG66" i="3"/>
  <c r="AF66" i="3"/>
  <c r="AE66" i="3"/>
  <c r="AD66" i="3"/>
  <c r="AC66" i="3"/>
  <c r="AA66" i="3"/>
  <c r="AB66" i="3" s="1"/>
  <c r="Y66" i="3"/>
  <c r="X66" i="3"/>
  <c r="Z66" i="3" s="1"/>
  <c r="W66" i="3"/>
  <c r="V66" i="3"/>
  <c r="U66" i="3"/>
  <c r="T66" i="3"/>
  <c r="R66" i="3"/>
  <c r="Q66" i="3"/>
  <c r="S66" i="3" s="1"/>
  <c r="O66" i="3"/>
  <c r="P66" i="3" s="1"/>
  <c r="M66" i="3"/>
  <c r="N66" i="3" s="1"/>
  <c r="E66" i="3"/>
  <c r="D66" i="3"/>
  <c r="C66" i="3"/>
  <c r="AI65" i="3"/>
  <c r="AH65" i="3"/>
  <c r="AF65" i="3"/>
  <c r="AE65" i="3"/>
  <c r="AG65" i="3" s="1"/>
  <c r="AC65" i="3"/>
  <c r="AD65" i="3" s="1"/>
  <c r="AA65" i="3"/>
  <c r="AB65" i="3" s="1"/>
  <c r="Z65" i="3"/>
  <c r="Y65" i="3"/>
  <c r="X65" i="3"/>
  <c r="W65" i="3"/>
  <c r="V65" i="3"/>
  <c r="T65" i="3"/>
  <c r="U65" i="3" s="1"/>
  <c r="R65" i="3"/>
  <c r="Q65" i="3"/>
  <c r="S65" i="3" s="1"/>
  <c r="O65" i="3"/>
  <c r="P65" i="3" s="1"/>
  <c r="N65" i="3"/>
  <c r="M65" i="3"/>
  <c r="E65" i="3"/>
  <c r="D65" i="3"/>
  <c r="C65" i="3"/>
  <c r="AI64" i="3"/>
  <c r="AH64" i="3"/>
  <c r="AF64" i="3"/>
  <c r="AE64" i="3"/>
  <c r="AG64" i="3" s="1"/>
  <c r="AC64" i="3"/>
  <c r="AD64" i="3" s="1"/>
  <c r="AB64" i="3"/>
  <c r="AA64" i="3"/>
  <c r="Y64" i="3"/>
  <c r="X64" i="3"/>
  <c r="V64" i="3"/>
  <c r="W64" i="3" s="1"/>
  <c r="U64" i="3"/>
  <c r="T64" i="3"/>
  <c r="S64" i="3"/>
  <c r="R64" i="3"/>
  <c r="Q64" i="3"/>
  <c r="P64" i="3"/>
  <c r="O64" i="3"/>
  <c r="M64" i="3"/>
  <c r="N64" i="3" s="1"/>
  <c r="E64" i="3"/>
  <c r="D64" i="3"/>
  <c r="C64" i="3"/>
  <c r="AI63" i="3"/>
  <c r="AH63" i="3"/>
  <c r="AG63" i="3"/>
  <c r="AF63" i="3"/>
  <c r="AE63" i="3"/>
  <c r="AD63" i="3"/>
  <c r="AC63" i="3"/>
  <c r="AA63" i="3"/>
  <c r="AB63" i="3" s="1"/>
  <c r="Z63" i="3"/>
  <c r="Y63" i="3"/>
  <c r="X63" i="3"/>
  <c r="W63" i="3"/>
  <c r="V63" i="3"/>
  <c r="U63" i="3"/>
  <c r="T63" i="3"/>
  <c r="R63" i="3"/>
  <c r="Q63" i="3"/>
  <c r="S63" i="3" s="1"/>
  <c r="O63" i="3"/>
  <c r="P63" i="3" s="1"/>
  <c r="N63" i="3"/>
  <c r="M63" i="3"/>
  <c r="E63" i="3"/>
  <c r="D63" i="3"/>
  <c r="C63" i="3"/>
  <c r="AI62" i="3"/>
  <c r="AH62" i="3"/>
  <c r="AF62" i="3"/>
  <c r="AE62" i="3"/>
  <c r="AG62" i="3" s="1"/>
  <c r="AC62" i="3"/>
  <c r="AD62" i="3" s="1"/>
  <c r="AB62" i="3"/>
  <c r="AA62" i="3"/>
  <c r="Z62" i="3"/>
  <c r="Y62" i="3"/>
  <c r="X62" i="3"/>
  <c r="W62" i="3"/>
  <c r="V62" i="3"/>
  <c r="T62" i="3"/>
  <c r="U62" i="3" s="1"/>
  <c r="R62" i="3"/>
  <c r="Q62" i="3"/>
  <c r="S62" i="3" s="1"/>
  <c r="P62" i="3"/>
  <c r="O62" i="3"/>
  <c r="N62" i="3"/>
  <c r="M62" i="3"/>
  <c r="E62" i="3"/>
  <c r="D62" i="3"/>
  <c r="C62" i="3"/>
  <c r="AI61" i="3"/>
  <c r="AH61" i="3"/>
  <c r="AF61" i="3"/>
  <c r="AE61" i="3"/>
  <c r="AG61" i="3" s="1"/>
  <c r="AD61" i="3"/>
  <c r="AC61" i="3"/>
  <c r="AB61" i="3"/>
  <c r="AA61" i="3"/>
  <c r="Y61" i="3"/>
  <c r="X61" i="3"/>
  <c r="Z61" i="3" s="1"/>
  <c r="V61" i="3"/>
  <c r="W61" i="3" s="1"/>
  <c r="U61" i="3"/>
  <c r="T61" i="3"/>
  <c r="S61" i="3"/>
  <c r="R61" i="3"/>
  <c r="Q61" i="3"/>
  <c r="P61" i="3"/>
  <c r="O61" i="3"/>
  <c r="M61" i="3"/>
  <c r="N61" i="3" s="1"/>
  <c r="E61" i="3"/>
  <c r="D61" i="3"/>
  <c r="C61" i="3"/>
  <c r="AI60" i="3"/>
  <c r="AH60" i="3"/>
  <c r="AG60" i="3"/>
  <c r="AF60" i="3"/>
  <c r="AE60" i="3"/>
  <c r="AD60" i="3"/>
  <c r="AC60" i="3"/>
  <c r="AA60" i="3"/>
  <c r="AB60" i="3" s="1"/>
  <c r="Y60" i="3"/>
  <c r="X60" i="3"/>
  <c r="Z60" i="3" s="1"/>
  <c r="W60" i="3"/>
  <c r="V60" i="3"/>
  <c r="U60" i="3"/>
  <c r="T60" i="3"/>
  <c r="R60" i="3"/>
  <c r="Q60" i="3"/>
  <c r="S60" i="3" s="1"/>
  <c r="O60" i="3"/>
  <c r="P60" i="3" s="1"/>
  <c r="M60" i="3"/>
  <c r="N60" i="3" s="1"/>
  <c r="E60" i="3"/>
  <c r="D60" i="3"/>
  <c r="C60" i="3"/>
  <c r="AI59" i="3"/>
  <c r="AH59" i="3"/>
  <c r="AF59" i="3"/>
  <c r="AE59" i="3"/>
  <c r="AG59" i="3" s="1"/>
  <c r="AC59" i="3"/>
  <c r="AD59" i="3" s="1"/>
  <c r="AA59" i="3"/>
  <c r="AB59" i="3" s="1"/>
  <c r="Z59" i="3"/>
  <c r="Y59" i="3"/>
  <c r="X59" i="3"/>
  <c r="W59" i="3"/>
  <c r="V59" i="3"/>
  <c r="T59" i="3"/>
  <c r="U59" i="3" s="1"/>
  <c r="R59" i="3"/>
  <c r="Q59" i="3"/>
  <c r="S59" i="3" s="1"/>
  <c r="O59" i="3"/>
  <c r="P59" i="3" s="1"/>
  <c r="N59" i="3"/>
  <c r="M59" i="3"/>
  <c r="E59" i="3"/>
  <c r="D59" i="3"/>
  <c r="C59" i="3"/>
  <c r="AI58" i="3"/>
  <c r="AH58" i="3"/>
  <c r="AF58" i="3"/>
  <c r="AE58" i="3"/>
  <c r="AG58" i="3" s="1"/>
  <c r="AC58" i="3"/>
  <c r="AD58" i="3" s="1"/>
  <c r="AB58" i="3"/>
  <c r="AA58" i="3"/>
  <c r="Y58" i="3"/>
  <c r="X58" i="3"/>
  <c r="V58" i="3"/>
  <c r="W58" i="3" s="1"/>
  <c r="U58" i="3"/>
  <c r="T58" i="3"/>
  <c r="S58" i="3"/>
  <c r="R58" i="3"/>
  <c r="Q58" i="3"/>
  <c r="P58" i="3"/>
  <c r="O58" i="3"/>
  <c r="M58" i="3"/>
  <c r="N58" i="3" s="1"/>
  <c r="E58" i="3"/>
  <c r="D58" i="3"/>
  <c r="C58" i="3"/>
  <c r="AI57" i="3"/>
  <c r="AH57" i="3"/>
  <c r="AG57" i="3"/>
  <c r="AF57" i="3"/>
  <c r="AE57" i="3"/>
  <c r="AD57" i="3"/>
  <c r="AC57" i="3"/>
  <c r="AA57" i="3"/>
  <c r="AB57" i="3" s="1"/>
  <c r="Z57" i="3"/>
  <c r="Y57" i="3"/>
  <c r="X57" i="3"/>
  <c r="W57" i="3"/>
  <c r="V57" i="3"/>
  <c r="U57" i="3"/>
  <c r="T57" i="3"/>
  <c r="R57" i="3"/>
  <c r="Q57" i="3"/>
  <c r="S57" i="3" s="1"/>
  <c r="O57" i="3"/>
  <c r="P57" i="3" s="1"/>
  <c r="N57" i="3"/>
  <c r="M57" i="3"/>
  <c r="E57" i="3"/>
  <c r="D57" i="3"/>
  <c r="C57" i="3"/>
  <c r="AI56" i="3"/>
  <c r="AH56" i="3"/>
  <c r="AF56" i="3"/>
  <c r="AE56" i="3"/>
  <c r="AG56" i="3" s="1"/>
  <c r="AC56" i="3"/>
  <c r="AD56" i="3" s="1"/>
  <c r="AB56" i="3"/>
  <c r="AA56" i="3"/>
  <c r="Z56" i="3"/>
  <c r="Y56" i="3"/>
  <c r="X56" i="3"/>
  <c r="W56" i="3"/>
  <c r="V56" i="3"/>
  <c r="T56" i="3"/>
  <c r="U56" i="3" s="1"/>
  <c r="R56" i="3"/>
  <c r="Q56" i="3"/>
  <c r="S56" i="3" s="1"/>
  <c r="P56" i="3"/>
  <c r="O56" i="3"/>
  <c r="N56" i="3"/>
  <c r="M56" i="3"/>
  <c r="E56" i="3"/>
  <c r="D56" i="3"/>
  <c r="C56" i="3"/>
  <c r="AI55" i="3"/>
  <c r="AH55" i="3"/>
  <c r="AF55" i="3"/>
  <c r="AE55" i="3"/>
  <c r="AG55" i="3" s="1"/>
  <c r="AD55" i="3"/>
  <c r="AC55" i="3"/>
  <c r="AB55" i="3"/>
  <c r="AA55" i="3"/>
  <c r="Y55" i="3"/>
  <c r="X55" i="3"/>
  <c r="Z55" i="3" s="1"/>
  <c r="V55" i="3"/>
  <c r="W55" i="3" s="1"/>
  <c r="U55" i="3"/>
  <c r="T55" i="3"/>
  <c r="S55" i="3"/>
  <c r="R55" i="3"/>
  <c r="Q55" i="3"/>
  <c r="P55" i="3"/>
  <c r="O55" i="3"/>
  <c r="M55" i="3"/>
  <c r="N55" i="3" s="1"/>
  <c r="E55" i="3"/>
  <c r="D55" i="3"/>
  <c r="C55" i="3"/>
  <c r="AI54" i="3"/>
  <c r="AH54" i="3"/>
  <c r="AG54" i="3"/>
  <c r="AF54" i="3"/>
  <c r="AE54" i="3"/>
  <c r="AD54" i="3"/>
  <c r="AC54" i="3"/>
  <c r="AA54" i="3"/>
  <c r="AB54" i="3" s="1"/>
  <c r="Y54" i="3"/>
  <c r="X54" i="3"/>
  <c r="Z54" i="3" s="1"/>
  <c r="W54" i="3"/>
  <c r="V54" i="3"/>
  <c r="U54" i="3"/>
  <c r="T54" i="3"/>
  <c r="R54" i="3"/>
  <c r="Q54" i="3"/>
  <c r="S54" i="3" s="1"/>
  <c r="O54" i="3"/>
  <c r="P54" i="3" s="1"/>
  <c r="M54" i="3"/>
  <c r="N54" i="3" s="1"/>
  <c r="E54" i="3"/>
  <c r="D54" i="3"/>
  <c r="C54" i="3"/>
  <c r="AI53" i="3"/>
  <c r="AH53" i="3"/>
  <c r="AF53" i="3"/>
  <c r="AE53" i="3"/>
  <c r="AG53" i="3" s="1"/>
  <c r="AC53" i="3"/>
  <c r="AD53" i="3" s="1"/>
  <c r="AA53" i="3"/>
  <c r="AB53" i="3" s="1"/>
  <c r="Z53" i="3"/>
  <c r="Y53" i="3"/>
  <c r="X53" i="3"/>
  <c r="W53" i="3"/>
  <c r="V53" i="3"/>
  <c r="T53" i="3"/>
  <c r="U53" i="3" s="1"/>
  <c r="R53" i="3"/>
  <c r="Q53" i="3"/>
  <c r="S53" i="3" s="1"/>
  <c r="O53" i="3"/>
  <c r="P53" i="3" s="1"/>
  <c r="N53" i="3"/>
  <c r="M53" i="3"/>
  <c r="E53" i="3"/>
  <c r="D53" i="3"/>
  <c r="C53" i="3"/>
  <c r="AI52" i="3"/>
  <c r="AH52" i="3"/>
  <c r="AF52" i="3"/>
  <c r="AE52" i="3"/>
  <c r="AG52" i="3" s="1"/>
  <c r="AC52" i="3"/>
  <c r="AD52" i="3" s="1"/>
  <c r="AB52" i="3"/>
  <c r="AA52" i="3"/>
  <c r="Y52" i="3"/>
  <c r="X52" i="3"/>
  <c r="V52" i="3"/>
  <c r="W52" i="3" s="1"/>
  <c r="U52" i="3"/>
  <c r="T52" i="3"/>
  <c r="S52" i="3"/>
  <c r="R52" i="3"/>
  <c r="Q52" i="3"/>
  <c r="P52" i="3"/>
  <c r="O52" i="3"/>
  <c r="M52" i="3"/>
  <c r="N52" i="3" s="1"/>
  <c r="E52" i="3"/>
  <c r="D52" i="3"/>
  <c r="C52" i="3"/>
  <c r="AI51" i="3"/>
  <c r="AH51" i="3"/>
  <c r="AG51" i="3"/>
  <c r="AF51" i="3"/>
  <c r="AE51" i="3"/>
  <c r="AD51" i="3"/>
  <c r="AC51" i="3"/>
  <c r="AA51" i="3"/>
  <c r="AB51" i="3" s="1"/>
  <c r="Z51" i="3"/>
  <c r="Y51" i="3"/>
  <c r="X51" i="3"/>
  <c r="W51" i="3"/>
  <c r="V51" i="3"/>
  <c r="U51" i="3"/>
  <c r="T51" i="3"/>
  <c r="R51" i="3"/>
  <c r="Q51" i="3"/>
  <c r="S51" i="3" s="1"/>
  <c r="O51" i="3"/>
  <c r="P51" i="3" s="1"/>
  <c r="N51" i="3"/>
  <c r="M51" i="3"/>
  <c r="E51" i="3"/>
  <c r="D51" i="3"/>
  <c r="C51" i="3"/>
  <c r="AI50" i="3"/>
  <c r="AH50" i="3"/>
  <c r="AF50" i="3"/>
  <c r="AE50" i="3"/>
  <c r="AG50" i="3" s="1"/>
  <c r="AC50" i="3"/>
  <c r="AD50" i="3" s="1"/>
  <c r="AB50" i="3"/>
  <c r="AA50" i="3"/>
  <c r="Z50" i="3"/>
  <c r="Y50" i="3"/>
  <c r="X50" i="3"/>
  <c r="W50" i="3"/>
  <c r="V50" i="3"/>
  <c r="T50" i="3"/>
  <c r="U50" i="3" s="1"/>
  <c r="R50" i="3"/>
  <c r="Q50" i="3"/>
  <c r="S50" i="3" s="1"/>
  <c r="P50" i="3"/>
  <c r="O50" i="3"/>
  <c r="N50" i="3"/>
  <c r="M50" i="3"/>
  <c r="E50" i="3"/>
  <c r="D50" i="3"/>
  <c r="C50" i="3"/>
  <c r="AI49" i="3"/>
  <c r="AH49" i="3"/>
  <c r="AF49" i="3"/>
  <c r="AE49" i="3"/>
  <c r="AG49" i="3" s="1"/>
  <c r="AD49" i="3"/>
  <c r="AC49" i="3"/>
  <c r="AB49" i="3"/>
  <c r="AA49" i="3"/>
  <c r="Y49" i="3"/>
  <c r="X49" i="3"/>
  <c r="Z49" i="3" s="1"/>
  <c r="V49" i="3"/>
  <c r="W49" i="3" s="1"/>
  <c r="U49" i="3"/>
  <c r="T49" i="3"/>
  <c r="S49" i="3"/>
  <c r="R49" i="3"/>
  <c r="Q49" i="3"/>
  <c r="P49" i="3"/>
  <c r="O49" i="3"/>
  <c r="M49" i="3"/>
  <c r="N49" i="3" s="1"/>
  <c r="E49" i="3"/>
  <c r="D49" i="3"/>
  <c r="C49" i="3"/>
  <c r="AI48" i="3"/>
  <c r="AH48" i="3"/>
  <c r="AG48" i="3"/>
  <c r="AF48" i="3"/>
  <c r="AE48" i="3"/>
  <c r="AD48" i="3"/>
  <c r="AC48" i="3"/>
  <c r="AA48" i="3"/>
  <c r="AB48" i="3" s="1"/>
  <c r="Y48" i="3"/>
  <c r="X48" i="3"/>
  <c r="Z48" i="3" s="1"/>
  <c r="W48" i="3"/>
  <c r="V48" i="3"/>
  <c r="U48" i="3"/>
  <c r="T48" i="3"/>
  <c r="R48" i="3"/>
  <c r="Q48" i="3"/>
  <c r="S48" i="3" s="1"/>
  <c r="O48" i="3"/>
  <c r="P48" i="3" s="1"/>
  <c r="M48" i="3"/>
  <c r="N48" i="3" s="1"/>
  <c r="E48" i="3"/>
  <c r="D48" i="3"/>
  <c r="C48" i="3"/>
  <c r="AI47" i="3"/>
  <c r="AH47" i="3"/>
  <c r="AF47" i="3"/>
  <c r="AE47" i="3"/>
  <c r="AG47" i="3" s="1"/>
  <c r="AC47" i="3"/>
  <c r="AD47" i="3" s="1"/>
  <c r="AA47" i="3"/>
  <c r="AB47" i="3" s="1"/>
  <c r="Z47" i="3"/>
  <c r="Y47" i="3"/>
  <c r="X47" i="3"/>
  <c r="W47" i="3"/>
  <c r="V47" i="3"/>
  <c r="T47" i="3"/>
  <c r="U47" i="3" s="1"/>
  <c r="R47" i="3"/>
  <c r="Q47" i="3"/>
  <c r="S47" i="3" s="1"/>
  <c r="O47" i="3"/>
  <c r="P47" i="3" s="1"/>
  <c r="N47" i="3"/>
  <c r="M47" i="3"/>
  <c r="E47" i="3"/>
  <c r="D47" i="3"/>
  <c r="C47" i="3"/>
  <c r="AI46" i="3"/>
  <c r="AH46" i="3"/>
  <c r="AF46" i="3"/>
  <c r="AE46" i="3"/>
  <c r="AG46" i="3" s="1"/>
  <c r="AC46" i="3"/>
  <c r="AD46" i="3" s="1"/>
  <c r="AB46" i="3"/>
  <c r="AA46" i="3"/>
  <c r="Y46" i="3"/>
  <c r="X46" i="3"/>
  <c r="Z46" i="3" s="1"/>
  <c r="V46" i="3"/>
  <c r="W46" i="3" s="1"/>
  <c r="U46" i="3"/>
  <c r="T46" i="3"/>
  <c r="S46" i="3"/>
  <c r="R46" i="3"/>
  <c r="Q46" i="3"/>
  <c r="P46" i="3"/>
  <c r="O46" i="3"/>
  <c r="M46" i="3"/>
  <c r="N46" i="3" s="1"/>
  <c r="E46" i="3"/>
  <c r="D46" i="3"/>
  <c r="C46" i="3"/>
  <c r="AI45" i="3"/>
  <c r="AH45" i="3"/>
  <c r="AG45" i="3"/>
  <c r="AF45" i="3"/>
  <c r="AE45" i="3"/>
  <c r="AD45" i="3"/>
  <c r="AC45" i="3"/>
  <c r="AA45" i="3"/>
  <c r="AB45" i="3" s="1"/>
  <c r="Z45" i="3"/>
  <c r="Y45" i="3"/>
  <c r="X45" i="3"/>
  <c r="W45" i="3"/>
  <c r="V45" i="3"/>
  <c r="U45" i="3"/>
  <c r="T45" i="3"/>
  <c r="R45" i="3"/>
  <c r="Q45" i="3"/>
  <c r="S45" i="3" s="1"/>
  <c r="O45" i="3"/>
  <c r="P45" i="3" s="1"/>
  <c r="N45" i="3"/>
  <c r="M45" i="3"/>
  <c r="E45" i="3"/>
  <c r="D45" i="3"/>
  <c r="C45" i="3"/>
  <c r="AI44" i="3"/>
  <c r="AH44" i="3"/>
  <c r="AF44" i="3"/>
  <c r="AE44" i="3"/>
  <c r="AG44" i="3" s="1"/>
  <c r="AC44" i="3"/>
  <c r="AD44" i="3" s="1"/>
  <c r="AB44" i="3"/>
  <c r="AA44" i="3"/>
  <c r="Z44" i="3"/>
  <c r="Y44" i="3"/>
  <c r="X44" i="3"/>
  <c r="W44" i="3"/>
  <c r="V44" i="3"/>
  <c r="T44" i="3"/>
  <c r="U44" i="3" s="1"/>
  <c r="R44" i="3"/>
  <c r="Q44" i="3"/>
  <c r="S44" i="3" s="1"/>
  <c r="P44" i="3"/>
  <c r="O44" i="3"/>
  <c r="N44" i="3"/>
  <c r="M44" i="3"/>
  <c r="E44" i="3"/>
  <c r="D44" i="3"/>
  <c r="C44" i="3"/>
  <c r="AI43" i="3"/>
  <c r="AH43" i="3"/>
  <c r="AF43" i="3"/>
  <c r="AE43" i="3"/>
  <c r="AG43" i="3" s="1"/>
  <c r="AD43" i="3"/>
  <c r="AC43" i="3"/>
  <c r="AB43" i="3"/>
  <c r="AA43" i="3"/>
  <c r="Y43" i="3"/>
  <c r="X43" i="3"/>
  <c r="Z43" i="3" s="1"/>
  <c r="V43" i="3"/>
  <c r="W43" i="3" s="1"/>
  <c r="U43" i="3"/>
  <c r="T43" i="3"/>
  <c r="S43" i="3"/>
  <c r="R43" i="3"/>
  <c r="Q43" i="3"/>
  <c r="P43" i="3"/>
  <c r="O43" i="3"/>
  <c r="M43" i="3"/>
  <c r="N43" i="3" s="1"/>
  <c r="E43" i="3"/>
  <c r="D43" i="3"/>
  <c r="C43" i="3"/>
  <c r="AI42" i="3"/>
  <c r="AH42" i="3"/>
  <c r="AG42" i="3"/>
  <c r="AF42" i="3"/>
  <c r="AE42" i="3"/>
  <c r="AD42" i="3"/>
  <c r="AC42" i="3"/>
  <c r="AA42" i="3"/>
  <c r="AB42" i="3" s="1"/>
  <c r="Y42" i="3"/>
  <c r="X42" i="3"/>
  <c r="Z42" i="3" s="1"/>
  <c r="W42" i="3"/>
  <c r="V42" i="3"/>
  <c r="U42" i="3"/>
  <c r="T42" i="3"/>
  <c r="R42" i="3"/>
  <c r="Q42" i="3"/>
  <c r="S42" i="3" s="1"/>
  <c r="O42" i="3"/>
  <c r="P42" i="3" s="1"/>
  <c r="M42" i="3"/>
  <c r="N42" i="3" s="1"/>
  <c r="E42" i="3"/>
  <c r="D42" i="3"/>
  <c r="C42" i="3"/>
  <c r="AI41" i="3"/>
  <c r="AH41" i="3"/>
  <c r="AF41" i="3"/>
  <c r="AE41" i="3"/>
  <c r="AG41" i="3" s="1"/>
  <c r="AC41" i="3"/>
  <c r="AD41" i="3" s="1"/>
  <c r="AA41" i="3"/>
  <c r="AB41" i="3" s="1"/>
  <c r="Z41" i="3"/>
  <c r="Y41" i="3"/>
  <c r="X41" i="3"/>
  <c r="W41" i="3"/>
  <c r="V41" i="3"/>
  <c r="T41" i="3"/>
  <c r="U41" i="3" s="1"/>
  <c r="R41" i="3"/>
  <c r="Q41" i="3"/>
  <c r="S41" i="3" s="1"/>
  <c r="O41" i="3"/>
  <c r="P41" i="3" s="1"/>
  <c r="N41" i="3"/>
  <c r="M41" i="3"/>
  <c r="E41" i="3"/>
  <c r="D41" i="3"/>
  <c r="C41" i="3"/>
  <c r="AI40" i="3"/>
  <c r="AH40" i="3"/>
  <c r="AF40" i="3"/>
  <c r="AE40" i="3"/>
  <c r="AG40" i="3" s="1"/>
  <c r="AC40" i="3"/>
  <c r="AD40" i="3" s="1"/>
  <c r="AB40" i="3"/>
  <c r="AA40" i="3"/>
  <c r="Y40" i="3"/>
  <c r="X40" i="3"/>
  <c r="V40" i="3"/>
  <c r="W40" i="3" s="1"/>
  <c r="U40" i="3"/>
  <c r="T40" i="3"/>
  <c r="S40" i="3"/>
  <c r="R40" i="3"/>
  <c r="Q40" i="3"/>
  <c r="P40" i="3"/>
  <c r="O40" i="3"/>
  <c r="M40" i="3"/>
  <c r="N40" i="3" s="1"/>
  <c r="E40" i="3"/>
  <c r="D40" i="3"/>
  <c r="C40" i="3"/>
  <c r="AI39" i="3"/>
  <c r="AH39" i="3"/>
  <c r="AG39" i="3"/>
  <c r="AF39" i="3"/>
  <c r="AE39" i="3"/>
  <c r="AD39" i="3"/>
  <c r="AC39" i="3"/>
  <c r="AA39" i="3"/>
  <c r="AB39" i="3" s="1"/>
  <c r="Z39" i="3"/>
  <c r="Y39" i="3"/>
  <c r="X39" i="3"/>
  <c r="W39" i="3"/>
  <c r="V39" i="3"/>
  <c r="U39" i="3"/>
  <c r="T39" i="3"/>
  <c r="R39" i="3"/>
  <c r="Q39" i="3"/>
  <c r="S39" i="3" s="1"/>
  <c r="O39" i="3"/>
  <c r="P39" i="3" s="1"/>
  <c r="N39" i="3"/>
  <c r="M39" i="3"/>
  <c r="E39" i="3"/>
  <c r="D39" i="3"/>
  <c r="C39" i="3"/>
  <c r="AI38" i="3"/>
  <c r="AH38" i="3"/>
  <c r="AF38" i="3"/>
  <c r="AE38" i="3"/>
  <c r="AG38" i="3" s="1"/>
  <c r="AC38" i="3"/>
  <c r="AD38" i="3" s="1"/>
  <c r="AB38" i="3"/>
  <c r="AA38" i="3"/>
  <c r="Y38" i="3"/>
  <c r="Z38" i="3" s="1"/>
  <c r="X38" i="3"/>
  <c r="W38" i="3"/>
  <c r="V38" i="3"/>
  <c r="T38" i="3"/>
  <c r="U38" i="3" s="1"/>
  <c r="R38" i="3"/>
  <c r="Q38" i="3"/>
  <c r="S38" i="3" s="1"/>
  <c r="P38" i="3"/>
  <c r="O38" i="3"/>
  <c r="M38" i="3"/>
  <c r="N38" i="3" s="1"/>
  <c r="E38" i="3"/>
  <c r="D38" i="3"/>
  <c r="C38" i="3"/>
  <c r="AI37" i="3"/>
  <c r="AH37" i="3"/>
  <c r="AF37" i="3"/>
  <c r="AE37" i="3"/>
  <c r="AG37" i="3" s="1"/>
  <c r="AD37" i="3"/>
  <c r="AC37" i="3"/>
  <c r="AA37" i="3"/>
  <c r="AB37" i="3" s="1"/>
  <c r="Y37" i="3"/>
  <c r="X37" i="3"/>
  <c r="Z37" i="3" s="1"/>
  <c r="V37" i="3"/>
  <c r="W37" i="3" s="1"/>
  <c r="U37" i="3"/>
  <c r="T37" i="3"/>
  <c r="S37" i="3"/>
  <c r="R37" i="3"/>
  <c r="Q37" i="3"/>
  <c r="O37" i="3"/>
  <c r="P37" i="3" s="1"/>
  <c r="M37" i="3"/>
  <c r="N37" i="3" s="1"/>
  <c r="E37" i="3"/>
  <c r="D37" i="3"/>
  <c r="C37" i="3"/>
  <c r="AI36" i="3"/>
  <c r="AH36" i="3"/>
  <c r="AF36" i="3"/>
  <c r="AG36" i="3" s="1"/>
  <c r="AE36" i="3"/>
  <c r="AC36" i="3"/>
  <c r="AD36" i="3" s="1"/>
  <c r="AA36" i="3"/>
  <c r="AB36" i="3" s="1"/>
  <c r="Y36" i="3"/>
  <c r="X36" i="3"/>
  <c r="Z36" i="3" s="1"/>
  <c r="W36" i="3"/>
  <c r="V36" i="3"/>
  <c r="U36" i="3"/>
  <c r="T36" i="3"/>
  <c r="R36" i="3"/>
  <c r="Q36" i="3"/>
  <c r="S36" i="3" s="1"/>
  <c r="O36" i="3"/>
  <c r="P36" i="3" s="1"/>
  <c r="M36" i="3"/>
  <c r="N36" i="3" s="1"/>
  <c r="E36" i="3"/>
  <c r="D36" i="3"/>
  <c r="C36" i="3"/>
  <c r="AI35" i="3"/>
  <c r="AH35" i="3"/>
  <c r="AF35" i="3"/>
  <c r="AE35" i="3"/>
  <c r="AG35" i="3" s="1"/>
  <c r="AC35" i="3"/>
  <c r="AD35" i="3" s="1"/>
  <c r="AA35" i="3"/>
  <c r="AB35" i="3" s="1"/>
  <c r="Z35" i="3"/>
  <c r="Y35" i="3"/>
  <c r="X35" i="3"/>
  <c r="V35" i="3"/>
  <c r="W35" i="3" s="1"/>
  <c r="T35" i="3"/>
  <c r="U35" i="3" s="1"/>
  <c r="S35" i="3"/>
  <c r="R35" i="3"/>
  <c r="Q35" i="3"/>
  <c r="O35" i="3"/>
  <c r="P35" i="3" s="1"/>
  <c r="N35" i="3"/>
  <c r="M35" i="3"/>
  <c r="E35" i="3"/>
  <c r="D35" i="3"/>
  <c r="C35" i="3"/>
  <c r="AI34" i="3"/>
  <c r="AH34" i="3"/>
  <c r="AG34" i="3"/>
  <c r="AF34" i="3"/>
  <c r="AE34" i="3"/>
  <c r="AC34" i="3"/>
  <c r="AD34" i="3" s="1"/>
  <c r="AB34" i="3"/>
  <c r="AA34" i="3"/>
  <c r="Y34" i="3"/>
  <c r="X34" i="3"/>
  <c r="V34" i="3"/>
  <c r="W34" i="3" s="1"/>
  <c r="U34" i="3"/>
  <c r="T34" i="3"/>
  <c r="S34" i="3"/>
  <c r="R34" i="3"/>
  <c r="Q34" i="3"/>
  <c r="P34" i="3"/>
  <c r="O34" i="3"/>
  <c r="M34" i="3"/>
  <c r="N34" i="3" s="1"/>
  <c r="E34" i="3"/>
  <c r="D34" i="3"/>
  <c r="C34" i="3"/>
  <c r="AI33" i="3"/>
  <c r="AH33" i="3"/>
  <c r="AG33" i="3"/>
  <c r="AF33" i="3"/>
  <c r="AE33" i="3"/>
  <c r="AD33" i="3"/>
  <c r="AC33" i="3"/>
  <c r="AA33" i="3"/>
  <c r="AB33" i="3" s="1"/>
  <c r="Z33" i="3"/>
  <c r="Y33" i="3"/>
  <c r="X33" i="3"/>
  <c r="W33" i="3"/>
  <c r="V33" i="3"/>
  <c r="U33" i="3"/>
  <c r="T33" i="3"/>
  <c r="R33" i="3"/>
  <c r="Q33" i="3"/>
  <c r="O33" i="3"/>
  <c r="P33" i="3" s="1"/>
  <c r="N33" i="3"/>
  <c r="M33" i="3"/>
  <c r="E33" i="3"/>
  <c r="D33" i="3"/>
  <c r="C33" i="3"/>
  <c r="AI32" i="3"/>
  <c r="AH32" i="3"/>
  <c r="AF32" i="3"/>
  <c r="AE32" i="3"/>
  <c r="AC32" i="3"/>
  <c r="AD32" i="3" s="1"/>
  <c r="AB32" i="3"/>
  <c r="AA32" i="3"/>
  <c r="Y32" i="3"/>
  <c r="Z32" i="3" s="1"/>
  <c r="X32" i="3"/>
  <c r="W32" i="3"/>
  <c r="V32" i="3"/>
  <c r="T32" i="3"/>
  <c r="U32" i="3" s="1"/>
  <c r="R32" i="3"/>
  <c r="Q32" i="3"/>
  <c r="S32" i="3" s="1"/>
  <c r="P32" i="3"/>
  <c r="O32" i="3"/>
  <c r="N32" i="3"/>
  <c r="M32" i="3"/>
  <c r="E32" i="3"/>
  <c r="D32" i="3"/>
  <c r="C32" i="3"/>
  <c r="AI31" i="3"/>
  <c r="AH31" i="3"/>
  <c r="AF31" i="3"/>
  <c r="AE31" i="3"/>
  <c r="AG31" i="3" s="1"/>
  <c r="AD31" i="3"/>
  <c r="AC31" i="3"/>
  <c r="AB31" i="3"/>
  <c r="AA31" i="3"/>
  <c r="Y31" i="3"/>
  <c r="X31" i="3"/>
  <c r="V31" i="3"/>
  <c r="W31" i="3" s="1"/>
  <c r="U31" i="3"/>
  <c r="T31" i="3"/>
  <c r="S31" i="3"/>
  <c r="R31" i="3"/>
  <c r="Q31" i="3"/>
  <c r="P31" i="3"/>
  <c r="O31" i="3"/>
  <c r="M31" i="3"/>
  <c r="N31" i="3" s="1"/>
  <c r="E31" i="3"/>
  <c r="D31" i="3"/>
  <c r="C31" i="3"/>
  <c r="AI30" i="3"/>
  <c r="AH30" i="3"/>
  <c r="AF30" i="3"/>
  <c r="AG30" i="3" s="1"/>
  <c r="AE30" i="3"/>
  <c r="AD30" i="3"/>
  <c r="AC30" i="3"/>
  <c r="AA30" i="3"/>
  <c r="AB30" i="3" s="1"/>
  <c r="Y30" i="3"/>
  <c r="X30" i="3"/>
  <c r="Z30" i="3" s="1"/>
  <c r="W30" i="3"/>
  <c r="V30" i="3"/>
  <c r="T30" i="3"/>
  <c r="U30" i="3" s="1"/>
  <c r="R30" i="3"/>
  <c r="Q30" i="3"/>
  <c r="S30" i="3" s="1"/>
  <c r="O30" i="3"/>
  <c r="P30" i="3" s="1"/>
  <c r="M30" i="3"/>
  <c r="N30" i="3" s="1"/>
  <c r="E30" i="3"/>
  <c r="D30" i="3"/>
  <c r="C30" i="3"/>
  <c r="AI29" i="3"/>
  <c r="AH29" i="3"/>
  <c r="AF29" i="3"/>
  <c r="AE29" i="3"/>
  <c r="AG29" i="3" s="1"/>
  <c r="AC29" i="3"/>
  <c r="AD29" i="3" s="1"/>
  <c r="AA29" i="3"/>
  <c r="AB29" i="3" s="1"/>
  <c r="Z29" i="3"/>
  <c r="Y29" i="3"/>
  <c r="X29" i="3"/>
  <c r="W29" i="3"/>
  <c r="V29" i="3"/>
  <c r="T29" i="3"/>
  <c r="U29" i="3" s="1"/>
  <c r="S29" i="3"/>
  <c r="R29" i="3"/>
  <c r="Q29" i="3"/>
  <c r="O29" i="3"/>
  <c r="P29" i="3" s="1"/>
  <c r="N29" i="3"/>
  <c r="M29" i="3"/>
  <c r="E29" i="3"/>
  <c r="D29" i="3"/>
  <c r="C29" i="3"/>
  <c r="AI28" i="3"/>
  <c r="AH28" i="3"/>
  <c r="AG28" i="3"/>
  <c r="AF28" i="3"/>
  <c r="AE28" i="3"/>
  <c r="AC28" i="3"/>
  <c r="AD28" i="3" s="1"/>
  <c r="AB28" i="3"/>
  <c r="AA28" i="3"/>
  <c r="Y28" i="3"/>
  <c r="X28" i="3"/>
  <c r="Z28" i="3" s="1"/>
  <c r="V28" i="3"/>
  <c r="W28" i="3" s="1"/>
  <c r="U28" i="3"/>
  <c r="T28" i="3"/>
  <c r="S28" i="3"/>
  <c r="R28" i="3"/>
  <c r="Q28" i="3"/>
  <c r="P28" i="3"/>
  <c r="O28" i="3"/>
  <c r="M28" i="3"/>
  <c r="N28" i="3" s="1"/>
  <c r="E28" i="3"/>
  <c r="D28" i="3"/>
  <c r="C28" i="3"/>
  <c r="AI27" i="3"/>
  <c r="AH27" i="3"/>
  <c r="AG27" i="3"/>
  <c r="AF27" i="3"/>
  <c r="AE27" i="3"/>
  <c r="AD27" i="3"/>
  <c r="AC27" i="3"/>
  <c r="AA27" i="3"/>
  <c r="AB27" i="3" s="1"/>
  <c r="Z27" i="3"/>
  <c r="Y27" i="3"/>
  <c r="X27" i="3"/>
  <c r="W27" i="3"/>
  <c r="V27" i="3"/>
  <c r="U27" i="3"/>
  <c r="T27" i="3"/>
  <c r="R27" i="3"/>
  <c r="Q27" i="3"/>
  <c r="S27" i="3" s="1"/>
  <c r="O27" i="3"/>
  <c r="P27" i="3" s="1"/>
  <c r="N27" i="3"/>
  <c r="M27" i="3"/>
  <c r="E27" i="3"/>
  <c r="D27" i="3"/>
  <c r="C27" i="3"/>
  <c r="AI26" i="3"/>
  <c r="AH26" i="3"/>
  <c r="AF26" i="3"/>
  <c r="AE26" i="3"/>
  <c r="AC26" i="3"/>
  <c r="AD26" i="3" s="1"/>
  <c r="AB26" i="3"/>
  <c r="AA26" i="3"/>
  <c r="Z26" i="3"/>
  <c r="Y26" i="3"/>
  <c r="X26" i="3"/>
  <c r="W26" i="3"/>
  <c r="V26" i="3"/>
  <c r="T26" i="3"/>
  <c r="U26" i="3" s="1"/>
  <c r="R26" i="3"/>
  <c r="Q26" i="3"/>
  <c r="S26" i="3" s="1"/>
  <c r="P26" i="3"/>
  <c r="O26" i="3"/>
  <c r="M26" i="3"/>
  <c r="N26" i="3" s="1"/>
  <c r="E26" i="3"/>
  <c r="D26" i="3"/>
  <c r="C26" i="3"/>
  <c r="AI25" i="3"/>
  <c r="AH25" i="3"/>
  <c r="AF25" i="3"/>
  <c r="AE25" i="3"/>
  <c r="AG25" i="3" s="1"/>
  <c r="AD25" i="3"/>
  <c r="AC25" i="3"/>
  <c r="AA25" i="3"/>
  <c r="AB25" i="3" s="1"/>
  <c r="Y25" i="3"/>
  <c r="X25" i="3"/>
  <c r="V25" i="3"/>
  <c r="W25" i="3" s="1"/>
  <c r="U25" i="3"/>
  <c r="T25" i="3"/>
  <c r="R25" i="3"/>
  <c r="S25" i="3" s="1"/>
  <c r="Q25" i="3"/>
  <c r="P25" i="3"/>
  <c r="O25" i="3"/>
  <c r="M25" i="3"/>
  <c r="N25" i="3" s="1"/>
  <c r="E25" i="3"/>
  <c r="D25" i="3"/>
  <c r="C25" i="3"/>
  <c r="AI24" i="3"/>
  <c r="AH24" i="3"/>
  <c r="AG24" i="3"/>
  <c r="AF24" i="3"/>
  <c r="AE24" i="3"/>
  <c r="AC24" i="3"/>
  <c r="AD24" i="3" s="1"/>
  <c r="AA24" i="3"/>
  <c r="AB24" i="3" s="1"/>
  <c r="Y24" i="3"/>
  <c r="X24" i="3"/>
  <c r="Z24" i="3" s="1"/>
  <c r="W24" i="3"/>
  <c r="V24" i="3"/>
  <c r="T24" i="3"/>
  <c r="U24" i="3" s="1"/>
  <c r="R24" i="3"/>
  <c r="Q24" i="3"/>
  <c r="O24" i="3"/>
  <c r="P24" i="3" s="1"/>
  <c r="M24" i="3"/>
  <c r="N24" i="3" s="1"/>
  <c r="E24" i="3"/>
  <c r="D24" i="3"/>
  <c r="C24" i="3"/>
  <c r="AI23" i="3"/>
  <c r="AH23" i="3"/>
  <c r="AF23" i="3"/>
  <c r="AE23" i="3"/>
  <c r="AC23" i="3"/>
  <c r="AD23" i="3" s="1"/>
  <c r="AA23" i="3"/>
  <c r="AB23" i="3" s="1"/>
  <c r="Z23" i="3"/>
  <c r="Y23" i="3"/>
  <c r="X23" i="3"/>
  <c r="W23" i="3"/>
  <c r="V23" i="3"/>
  <c r="T23" i="3"/>
  <c r="U23" i="3" s="1"/>
  <c r="S23" i="3"/>
  <c r="R23" i="3"/>
  <c r="Q23" i="3"/>
  <c r="O23" i="3"/>
  <c r="P23" i="3" s="1"/>
  <c r="N23" i="3"/>
  <c r="M23" i="3"/>
  <c r="E23" i="3"/>
  <c r="D23" i="3"/>
  <c r="C23" i="3"/>
  <c r="AI22" i="3"/>
  <c r="AH22" i="3"/>
  <c r="AF22" i="3"/>
  <c r="AE22" i="3"/>
  <c r="AG22" i="3" s="1"/>
  <c r="AC22" i="3"/>
  <c r="AD22" i="3" s="1"/>
  <c r="AB22" i="3"/>
  <c r="AA22" i="3"/>
  <c r="Y22" i="3"/>
  <c r="X22" i="3"/>
  <c r="V22" i="3"/>
  <c r="W22" i="3" s="1"/>
  <c r="U22" i="3"/>
  <c r="T22" i="3"/>
  <c r="S22" i="3"/>
  <c r="R22" i="3"/>
  <c r="Q22" i="3"/>
  <c r="P22" i="3"/>
  <c r="O22" i="3"/>
  <c r="M22" i="3"/>
  <c r="N22" i="3" s="1"/>
  <c r="E22" i="3"/>
  <c r="D22" i="3"/>
  <c r="C22" i="3"/>
  <c r="AI21" i="3"/>
  <c r="AH21" i="3"/>
  <c r="AG21" i="3"/>
  <c r="AF21" i="3"/>
  <c r="AE21" i="3"/>
  <c r="AD21" i="3"/>
  <c r="AC21" i="3"/>
  <c r="AA21" i="3"/>
  <c r="AB21" i="3" s="1"/>
  <c r="Y21" i="3"/>
  <c r="X21" i="3"/>
  <c r="Z21" i="3" s="1"/>
  <c r="W21" i="3"/>
  <c r="V21" i="3"/>
  <c r="U21" i="3"/>
  <c r="T21" i="3"/>
  <c r="R21" i="3"/>
  <c r="Q21" i="3"/>
  <c r="O21" i="3"/>
  <c r="P21" i="3" s="1"/>
  <c r="N21" i="3"/>
  <c r="M21" i="3"/>
  <c r="E21" i="3"/>
  <c r="D21" i="3"/>
  <c r="C21" i="3"/>
  <c r="AI20" i="3"/>
  <c r="AH20" i="3"/>
  <c r="AF20" i="3"/>
  <c r="AE20" i="3"/>
  <c r="AG20" i="3" s="1"/>
  <c r="AC20" i="3"/>
  <c r="AD20" i="3" s="1"/>
  <c r="AB20" i="3"/>
  <c r="AA20" i="3"/>
  <c r="Z20" i="3"/>
  <c r="Y20" i="3"/>
  <c r="X20" i="3"/>
  <c r="W20" i="3"/>
  <c r="V20" i="3"/>
  <c r="T20" i="3"/>
  <c r="U20" i="3" s="1"/>
  <c r="R20" i="3"/>
  <c r="Q20" i="3"/>
  <c r="S20" i="3" s="1"/>
  <c r="P20" i="3"/>
  <c r="O20" i="3"/>
  <c r="M20" i="3"/>
  <c r="N20" i="3" s="1"/>
  <c r="E20" i="3"/>
  <c r="D20" i="3"/>
  <c r="C20" i="3"/>
  <c r="AI19" i="3"/>
  <c r="AH19" i="3"/>
  <c r="AF19" i="3"/>
  <c r="AE19" i="3"/>
  <c r="AG19" i="3" s="1"/>
  <c r="AD19" i="3"/>
  <c r="AC19" i="3"/>
  <c r="AA19" i="3"/>
  <c r="AB19" i="3" s="1"/>
  <c r="Y19" i="3"/>
  <c r="X19" i="3"/>
  <c r="V19" i="3"/>
  <c r="W19" i="3" s="1"/>
  <c r="U19" i="3"/>
  <c r="T19" i="3"/>
  <c r="S19" i="3"/>
  <c r="R19" i="3"/>
  <c r="Q19" i="3"/>
  <c r="P19" i="3"/>
  <c r="O19" i="3"/>
  <c r="M19" i="3"/>
  <c r="N19" i="3" s="1"/>
  <c r="E19" i="3"/>
  <c r="D19" i="3"/>
  <c r="C19" i="3"/>
  <c r="AI18" i="3"/>
  <c r="AH18" i="3"/>
  <c r="AF18" i="3"/>
  <c r="AG18" i="3" s="1"/>
  <c r="AE18" i="3"/>
  <c r="AD18" i="3"/>
  <c r="AC18" i="3"/>
  <c r="AA18" i="3"/>
  <c r="AB18" i="3" s="1"/>
  <c r="Y18" i="3"/>
  <c r="X18" i="3"/>
  <c r="Z18" i="3" s="1"/>
  <c r="W18" i="3"/>
  <c r="V18" i="3"/>
  <c r="T18" i="3"/>
  <c r="U18" i="3" s="1"/>
  <c r="R18" i="3"/>
  <c r="Q18" i="3"/>
  <c r="S18" i="3" s="1"/>
  <c r="O18" i="3"/>
  <c r="P18" i="3" s="1"/>
  <c r="M18" i="3"/>
  <c r="N18" i="3" s="1"/>
  <c r="E18" i="3"/>
  <c r="D18" i="3"/>
  <c r="C18" i="3"/>
  <c r="AI17" i="3"/>
  <c r="AH17" i="3"/>
  <c r="AF17" i="3"/>
  <c r="AE17" i="3"/>
  <c r="AG17" i="3" s="1"/>
  <c r="AC17" i="3"/>
  <c r="AD17" i="3" s="1"/>
  <c r="AA17" i="3"/>
  <c r="AB17" i="3" s="1"/>
  <c r="Z17" i="3"/>
  <c r="Y17" i="3"/>
  <c r="X17" i="3"/>
  <c r="W17" i="3"/>
  <c r="V17" i="3"/>
  <c r="T17" i="3"/>
  <c r="U17" i="3" s="1"/>
  <c r="S17" i="3"/>
  <c r="R17" i="3"/>
  <c r="Q17" i="3"/>
  <c r="O17" i="3"/>
  <c r="P17" i="3" s="1"/>
  <c r="N17" i="3"/>
  <c r="M17" i="3"/>
  <c r="E17" i="3"/>
  <c r="D17" i="3"/>
  <c r="C17" i="3"/>
  <c r="AI16" i="3"/>
  <c r="AH16" i="3"/>
  <c r="AG16" i="3"/>
  <c r="AF16" i="3"/>
  <c r="AE16" i="3"/>
  <c r="AC16" i="3"/>
  <c r="AD16" i="3" s="1"/>
  <c r="AA16" i="3"/>
  <c r="AB16" i="3" s="1"/>
  <c r="Y16" i="3"/>
  <c r="X16" i="3"/>
  <c r="Z16" i="3" s="1"/>
  <c r="V16" i="3"/>
  <c r="W16" i="3" s="1"/>
  <c r="U16" i="3"/>
  <c r="T16" i="3"/>
  <c r="S16" i="3"/>
  <c r="R16" i="3"/>
  <c r="Q16" i="3"/>
  <c r="O16" i="3"/>
  <c r="P16" i="3" s="1"/>
  <c r="M16" i="3"/>
  <c r="N16" i="3" s="1"/>
  <c r="E16" i="3"/>
  <c r="D16" i="3"/>
  <c r="C16" i="3"/>
  <c r="AI15" i="3"/>
  <c r="AH15" i="3"/>
  <c r="AG15" i="3"/>
  <c r="AF15" i="3"/>
  <c r="AE15" i="3"/>
  <c r="AD15" i="3"/>
  <c r="AC15" i="3"/>
  <c r="AA15" i="3"/>
  <c r="AB15" i="3" s="1"/>
  <c r="Z15" i="3"/>
  <c r="Y15" i="3"/>
  <c r="X15" i="3"/>
  <c r="W15" i="3"/>
  <c r="V15" i="3"/>
  <c r="U15" i="3"/>
  <c r="T15" i="3"/>
  <c r="R15" i="3"/>
  <c r="Q15" i="3"/>
  <c r="S15" i="3" s="1"/>
  <c r="O15" i="3"/>
  <c r="P15" i="3" s="1"/>
  <c r="N15" i="3"/>
  <c r="M15" i="3"/>
  <c r="E15" i="3"/>
  <c r="D15" i="3"/>
  <c r="C15" i="3"/>
  <c r="AI14" i="3"/>
  <c r="AH14" i="3"/>
  <c r="AF14" i="3"/>
  <c r="AE14" i="3"/>
  <c r="AC14" i="3"/>
  <c r="AD14" i="3" s="1"/>
  <c r="AB14" i="3"/>
  <c r="AA14" i="3"/>
  <c r="Y14" i="3"/>
  <c r="Z14" i="3" s="1"/>
  <c r="X14" i="3"/>
  <c r="W14" i="3"/>
  <c r="V14" i="3"/>
  <c r="T14" i="3"/>
  <c r="U14" i="3" s="1"/>
  <c r="R14" i="3"/>
  <c r="Q14" i="3"/>
  <c r="S14" i="3" s="1"/>
  <c r="P14" i="3"/>
  <c r="O14" i="3"/>
  <c r="N14" i="3"/>
  <c r="M14" i="3"/>
  <c r="E14" i="3"/>
  <c r="D14" i="3"/>
  <c r="C14" i="3"/>
  <c r="AI13" i="3"/>
  <c r="AH13" i="3"/>
  <c r="AF13" i="3"/>
  <c r="AE13" i="3"/>
  <c r="AG13" i="3" s="1"/>
  <c r="AD13" i="3"/>
  <c r="AC13" i="3"/>
  <c r="AB13" i="3"/>
  <c r="AA13" i="3"/>
  <c r="Y13" i="3"/>
  <c r="X13" i="3"/>
  <c r="Z13" i="3" s="1"/>
  <c r="V13" i="3"/>
  <c r="W13" i="3" s="1"/>
  <c r="U13" i="3"/>
  <c r="T13" i="3"/>
  <c r="R13" i="3"/>
  <c r="S13" i="3" s="1"/>
  <c r="Q13" i="3"/>
  <c r="O13" i="3"/>
  <c r="P13" i="3" s="1"/>
  <c r="M13" i="3"/>
  <c r="N13" i="3" s="1"/>
  <c r="E13" i="3"/>
  <c r="D13" i="3"/>
  <c r="C13" i="3"/>
  <c r="AI12" i="3"/>
  <c r="AH12" i="3"/>
  <c r="AG12" i="3"/>
  <c r="AF12" i="3"/>
  <c r="AE12" i="3"/>
  <c r="AD12" i="3"/>
  <c r="AC12" i="3"/>
  <c r="AA12" i="3"/>
  <c r="AB12" i="3" s="1"/>
  <c r="Y12" i="3"/>
  <c r="X12" i="3"/>
  <c r="Z12" i="3" s="1"/>
  <c r="W12" i="3"/>
  <c r="V12" i="3"/>
  <c r="U12" i="3"/>
  <c r="T12" i="3"/>
  <c r="R12" i="3"/>
  <c r="Q12" i="3"/>
  <c r="O12" i="3"/>
  <c r="P12" i="3" s="1"/>
  <c r="M12" i="3"/>
  <c r="N12" i="3" s="1"/>
  <c r="E12" i="3"/>
  <c r="D12" i="3"/>
  <c r="C12" i="3"/>
  <c r="AI11" i="3"/>
  <c r="AH11" i="3"/>
  <c r="AF11" i="3"/>
  <c r="AE11" i="3"/>
  <c r="AG11" i="3" s="1"/>
  <c r="AC11" i="3"/>
  <c r="AD11" i="3" s="1"/>
  <c r="AA11" i="3"/>
  <c r="AB11" i="3" s="1"/>
  <c r="Y11" i="3"/>
  <c r="Z11" i="3" s="1"/>
  <c r="X11" i="3"/>
  <c r="V11" i="3"/>
  <c r="W11" i="3" s="1"/>
  <c r="T11" i="3"/>
  <c r="U11" i="3" s="1"/>
  <c r="R11" i="3"/>
  <c r="Q11" i="3"/>
  <c r="S11" i="3" s="1"/>
  <c r="O11" i="3"/>
  <c r="P11" i="3" s="1"/>
  <c r="M11" i="3"/>
  <c r="N11" i="3" s="1"/>
  <c r="E11" i="3"/>
  <c r="D11" i="3"/>
  <c r="C11" i="3"/>
  <c r="AI10" i="3"/>
  <c r="AH10" i="3"/>
  <c r="AG10" i="3"/>
  <c r="AF10" i="3"/>
  <c r="AE10" i="3"/>
  <c r="AC10" i="3"/>
  <c r="AD10" i="3" s="1"/>
  <c r="AB10" i="3"/>
  <c r="AA10" i="3"/>
  <c r="Y10" i="3"/>
  <c r="X10" i="3"/>
  <c r="V10" i="3"/>
  <c r="W10" i="3" s="1"/>
  <c r="U10" i="3"/>
  <c r="T10" i="3"/>
  <c r="S10" i="3"/>
  <c r="R10" i="3"/>
  <c r="Q10" i="3"/>
  <c r="O10" i="3"/>
  <c r="P10" i="3" s="1"/>
  <c r="M10" i="3"/>
  <c r="N10" i="3" s="1"/>
  <c r="E10" i="3"/>
  <c r="D10" i="3"/>
  <c r="C10" i="3"/>
  <c r="AI9" i="3"/>
  <c r="AH9" i="3"/>
  <c r="AG9" i="3"/>
  <c r="AF9" i="3"/>
  <c r="AE9" i="3"/>
  <c r="AC9" i="3"/>
  <c r="AD9" i="3" s="1"/>
  <c r="AA9" i="3"/>
  <c r="AB9" i="3" s="1"/>
  <c r="Z9" i="3"/>
  <c r="Y9" i="3"/>
  <c r="X9" i="3"/>
  <c r="W9" i="3"/>
  <c r="V9" i="3"/>
  <c r="U9" i="3"/>
  <c r="T9" i="3"/>
  <c r="R9" i="3"/>
  <c r="Q9" i="3"/>
  <c r="S9" i="3" s="1"/>
  <c r="O9" i="3"/>
  <c r="P9" i="3" s="1"/>
  <c r="N9" i="3"/>
  <c r="M9" i="3"/>
  <c r="E9" i="3"/>
  <c r="D9" i="3"/>
  <c r="C9" i="3"/>
  <c r="AI8" i="3"/>
  <c r="AH8" i="3"/>
  <c r="AF8" i="3"/>
  <c r="AE8" i="3"/>
  <c r="AC8" i="3"/>
  <c r="AD8" i="3" s="1"/>
  <c r="AB8" i="3"/>
  <c r="AA8" i="3"/>
  <c r="Y8" i="3"/>
  <c r="Z8" i="3" s="1"/>
  <c r="X8" i="3"/>
  <c r="W8" i="3"/>
  <c r="V8" i="3"/>
  <c r="T8" i="3"/>
  <c r="U8" i="3" s="1"/>
  <c r="S8" i="3"/>
  <c r="R8" i="3"/>
  <c r="Q8" i="3"/>
  <c r="P8" i="3"/>
  <c r="O8" i="3"/>
  <c r="M8" i="3"/>
  <c r="N8" i="3" s="1"/>
  <c r="E8" i="3"/>
  <c r="D8" i="3"/>
  <c r="C8" i="3"/>
  <c r="AI7" i="3"/>
  <c r="AH7" i="3"/>
  <c r="AG7" i="3"/>
  <c r="AF7" i="3"/>
  <c r="AE7" i="3"/>
  <c r="AD7" i="3"/>
  <c r="AC7" i="3"/>
  <c r="AA7" i="3"/>
  <c r="AB7" i="3" s="1"/>
  <c r="Y7" i="3"/>
  <c r="X7" i="3"/>
  <c r="Z7" i="3" s="1"/>
  <c r="V7" i="3"/>
  <c r="W7" i="3" s="1"/>
  <c r="U7" i="3"/>
  <c r="T7" i="3"/>
  <c r="S7" i="3"/>
  <c r="R7" i="3"/>
  <c r="Q7" i="3"/>
  <c r="O7" i="3"/>
  <c r="P7" i="3" s="1"/>
  <c r="M7" i="3"/>
  <c r="N7" i="3" s="1"/>
  <c r="E7" i="3"/>
  <c r="D7" i="3"/>
  <c r="C7" i="3"/>
  <c r="AI6" i="3"/>
  <c r="AH6" i="3"/>
  <c r="AF6" i="3"/>
  <c r="AG6" i="3" s="1"/>
  <c r="AE6" i="3"/>
  <c r="AC6" i="3"/>
  <c r="AD6" i="3" s="1"/>
  <c r="AA6" i="3"/>
  <c r="AB6" i="3" s="1"/>
  <c r="Y6" i="3"/>
  <c r="X6" i="3"/>
  <c r="Z6" i="3" s="1"/>
  <c r="W6" i="3"/>
  <c r="V6" i="3"/>
  <c r="T6" i="3"/>
  <c r="U6" i="3" s="1"/>
  <c r="R6" i="3"/>
  <c r="Q6" i="3"/>
  <c r="S6" i="3" s="1"/>
  <c r="O6" i="3"/>
  <c r="P6" i="3" s="1"/>
  <c r="M6" i="3"/>
  <c r="N6" i="3" s="1"/>
  <c r="E6" i="3"/>
  <c r="D6" i="3"/>
  <c r="C6" i="3"/>
  <c r="AI5" i="3"/>
  <c r="AH5" i="3"/>
  <c r="AF5" i="3"/>
  <c r="AE5" i="3"/>
  <c r="AC5" i="3"/>
  <c r="AD5" i="3" s="1"/>
  <c r="AA5" i="3"/>
  <c r="AB5" i="3" s="1"/>
  <c r="Z5" i="3"/>
  <c r="Y5" i="3"/>
  <c r="X5" i="3"/>
  <c r="V5" i="3"/>
  <c r="W5" i="3" s="1"/>
  <c r="T5" i="3"/>
  <c r="U5" i="3" s="1"/>
  <c r="R5" i="3"/>
  <c r="Q5" i="3"/>
  <c r="S5" i="3" s="1"/>
  <c r="O5" i="3"/>
  <c r="P5" i="3" s="1"/>
  <c r="N5" i="3"/>
  <c r="M5" i="3"/>
  <c r="E5" i="3"/>
  <c r="D5" i="3"/>
  <c r="C5" i="3"/>
  <c r="AI4" i="3"/>
  <c r="AH4" i="3"/>
  <c r="AF4" i="3"/>
  <c r="AE4" i="3"/>
  <c r="AG4" i="3" s="1"/>
  <c r="AC4" i="3"/>
  <c r="AD4" i="3" s="1"/>
  <c r="AA4" i="3"/>
  <c r="AB4" i="3" s="1"/>
  <c r="Y4" i="3"/>
  <c r="X4" i="3"/>
  <c r="Z4" i="3" s="1"/>
  <c r="V4" i="3"/>
  <c r="W4" i="3" s="1"/>
  <c r="U4" i="3"/>
  <c r="T4" i="3"/>
  <c r="S4" i="3"/>
  <c r="R4" i="3"/>
  <c r="Q4" i="3"/>
  <c r="O4" i="3"/>
  <c r="P4" i="3" s="1"/>
  <c r="M4" i="3"/>
  <c r="N4" i="3" s="1"/>
  <c r="E4" i="3"/>
  <c r="D4" i="3"/>
  <c r="C4" i="3"/>
  <c r="AI3" i="3"/>
  <c r="AH3" i="3"/>
  <c r="AG3" i="3"/>
  <c r="AF3" i="3"/>
  <c r="AE3" i="3"/>
  <c r="AC3" i="3"/>
  <c r="AD3" i="3" s="1"/>
  <c r="AA3" i="3"/>
  <c r="AB3" i="3" s="1"/>
  <c r="Y3" i="3"/>
  <c r="X3" i="3"/>
  <c r="Z3" i="3" s="1"/>
  <c r="W3" i="3"/>
  <c r="V3" i="3"/>
  <c r="U3" i="3"/>
  <c r="T3" i="3"/>
  <c r="R3" i="3"/>
  <c r="Q3" i="3"/>
  <c r="O3" i="3"/>
  <c r="P3" i="3" s="1"/>
  <c r="M3" i="3"/>
  <c r="N3" i="3" s="1"/>
  <c r="E3" i="3"/>
  <c r="D3" i="3"/>
  <c r="C3" i="3"/>
  <c r="AI2" i="3"/>
  <c r="AH2" i="3"/>
  <c r="AF2" i="3"/>
  <c r="AE2" i="3"/>
  <c r="AG2" i="3" s="1"/>
  <c r="AC2" i="3"/>
  <c r="AD2" i="3" s="1"/>
  <c r="AA2" i="3"/>
  <c r="AB2" i="3" s="1"/>
  <c r="Y2" i="3"/>
  <c r="Z2" i="3" s="1"/>
  <c r="X2" i="3"/>
  <c r="W2" i="3"/>
  <c r="V2" i="3"/>
  <c r="T2" i="3"/>
  <c r="U2" i="3" s="1"/>
  <c r="R2" i="3"/>
  <c r="Q2" i="3"/>
  <c r="S2" i="3" s="1"/>
  <c r="P2" i="3"/>
  <c r="O2" i="3"/>
  <c r="M2" i="3"/>
  <c r="N2" i="3" s="1"/>
  <c r="E2" i="3"/>
  <c r="D2" i="3"/>
  <c r="C2" i="3"/>
  <c r="Z88" i="3" l="1"/>
  <c r="Z19" i="3"/>
  <c r="AG23" i="3"/>
  <c r="Z31" i="3"/>
  <c r="S3" i="3"/>
  <c r="Z25" i="3"/>
  <c r="Z40" i="3"/>
  <c r="Z64" i="3"/>
  <c r="S33" i="3"/>
  <c r="Z82" i="3"/>
  <c r="AG8" i="3"/>
  <c r="S21" i="3"/>
  <c r="AG32" i="3"/>
  <c r="Z58" i="3"/>
  <c r="AG14" i="3"/>
  <c r="AG26" i="3"/>
  <c r="Z10" i="3"/>
  <c r="S12" i="3"/>
  <c r="Z34" i="3"/>
  <c r="Z52" i="3"/>
  <c r="Z76" i="3"/>
  <c r="AG5" i="3"/>
  <c r="Z22" i="3"/>
  <c r="S24" i="3"/>
</calcChain>
</file>

<file path=xl/sharedStrings.xml><?xml version="1.0" encoding="utf-8"?>
<sst xmlns="http://schemas.openxmlformats.org/spreadsheetml/2006/main" count="83" uniqueCount="80">
  <si>
    <t>MẪU THEO DÕI DOANH NGHIỆP HÀNG THÁNG - TOÀN TỈNH KHÁNH HÒA</t>
  </si>
  <si>
    <t>Nội dung</t>
  </si>
  <si>
    <t>Hướng dẫn</t>
  </si>
  <si>
    <t>Phạm vi</t>
  </si>
  <si>
    <t>Toàn bộ doanh nghiệp trên địa bàn tỉnh; quản lý theo mã số thuế.</t>
  </si>
  <si>
    <t>Danh mục DN</t>
  </si>
  <si>
    <t>Nhập 01 lần thông tin DN tại sheet DM_Doanh_nghiep.</t>
  </si>
  <si>
    <t>Nhập tháng</t>
  </si>
  <si>
    <t>Mỗi DN mỗi tháng nhập 01 dòng tại các ô nền vàng.</t>
  </si>
  <si>
    <t>09 trường nhập</t>
  </si>
  <si>
    <t>Tháng; MST; Sản lượng; ĐVT; GTSXCN; XK; NK; Thị trường XK chính; Ghi chú.</t>
  </si>
  <si>
    <t>Tự động</t>
  </si>
  <si>
    <t>Tên DN, địa bàn, ngành; tháng trước; cùng kỳ; lũy kế; tăng/giảm; cảnh báo.</t>
  </si>
  <si>
    <t>Đỏ</t>
  </si>
  <si>
    <t>Giảm &gt;10% so cùng kỳ ở GTSXCN/XK/NK.</t>
  </si>
  <si>
    <t>Vàng</t>
  </si>
  <si>
    <t>Giảm &gt;10% so tháng trước ở GTSXCN/XK/NK.</t>
  </si>
  <si>
    <t>Mở rộng</t>
  </si>
  <si>
    <t>Bảng Excel có thể thêm dòng để theo dõi toàn bộ doanh nghiệp, không giới hạn DN chủ lực.</t>
  </si>
  <si>
    <t>Khu vực kinh tế</t>
  </si>
  <si>
    <t>Khai 01 lần: Doanh nghiệp nhà nước; Doanh nghiệp ngoài nhà nước; Doanh nghiệp có vốn đầu tư nước ngoài (FDI).</t>
  </si>
  <si>
    <t>Nguyên tắc</t>
  </si>
  <si>
    <t>Tự động lấy sang Báo cáo tháng theo mã số thuế; doanh nghiệp không phải nhập lại hằng tháng.</t>
  </si>
  <si>
    <t>Mục đích</t>
  </si>
  <si>
    <t>Phân tích GTSXCN, xuất khẩu và nhập khẩu theo khu vực kinh tế trên phạm vi toàn tỉnh.</t>
  </si>
  <si>
    <t>Mã số thuế*</t>
  </si>
  <si>
    <t>Tên doanh nghiệp*</t>
  </si>
  <si>
    <t>Địa chỉ</t>
  </si>
  <si>
    <t>Xã/Phường/Đặc khu*</t>
  </si>
  <si>
    <t>Ngành công nghiệp chính*</t>
  </si>
  <si>
    <t>Trạng thái</t>
  </si>
  <si>
    <t>Tháng báo cáo*</t>
  </si>
  <si>
    <t>Tên doanh nghiệp</t>
  </si>
  <si>
    <t>Xã/Phường/Đặc khu</t>
  </si>
  <si>
    <t>Ngành chính</t>
  </si>
  <si>
    <t>Sản lượng</t>
  </si>
  <si>
    <t>ĐVT</t>
  </si>
  <si>
    <t>GTSXCN tháng
(triệu đồng)*</t>
  </si>
  <si>
    <t>Xuất khẩu tháng
(USD)*</t>
  </si>
  <si>
    <t>Nhập khẩu tháng
(USD)*</t>
  </si>
  <si>
    <t>Thị trường XK chính</t>
  </si>
  <si>
    <t>Ghi chú</t>
  </si>
  <si>
    <t>GTSX tháng trước</t>
  </si>
  <si>
    <t>% GTSX so tháng trước</t>
  </si>
  <si>
    <t>GTSX cùng kỳ</t>
  </si>
  <si>
    <t>% GTSX so cùng kỳ</t>
  </si>
  <si>
    <t>GTSX lũy kế</t>
  </si>
  <si>
    <t>GTSX LK cùng kỳ</t>
  </si>
  <si>
    <t>% GTSX LK cùng kỳ</t>
  </si>
  <si>
    <t>XK tháng trước</t>
  </si>
  <si>
    <t>% XK so tháng trước</t>
  </si>
  <si>
    <t>XK cùng kỳ</t>
  </si>
  <si>
    <t>% XK so cùng kỳ</t>
  </si>
  <si>
    <t>XK lũy kế</t>
  </si>
  <si>
    <t>XK LK cùng kỳ</t>
  </si>
  <si>
    <t>% XK LK cùng kỳ</t>
  </si>
  <si>
    <t>NK tháng trước</t>
  </si>
  <si>
    <t>% NK so tháng trước</t>
  </si>
  <si>
    <t>NK cùng kỳ</t>
  </si>
  <si>
    <t>% NK so cùng kỳ</t>
  </si>
  <si>
    <t>NK lũy kế</t>
  </si>
  <si>
    <t>NK LK cùng kỳ</t>
  </si>
  <si>
    <t>% NK LK cùng kỳ</t>
  </si>
  <si>
    <t>CẢNH BÁO</t>
  </si>
  <si>
    <t>TỔNG HỢP THEO KHU VỰC KINH TẾ</t>
  </si>
  <si>
    <t>Tháng báo cáo</t>
  </si>
  <si>
    <t>GTSXCN tháng
(triệu đồng)</t>
  </si>
  <si>
    <t>GTSXCN lũy kế
(triệu đồng)</t>
  </si>
  <si>
    <t>Xuất khẩu tháng
(USD)</t>
  </si>
  <si>
    <t>Xuất khẩu lũy kế
(USD)</t>
  </si>
  <si>
    <t>Nhập khẩu tháng
(USD)</t>
  </si>
  <si>
    <t>Nhập khẩu lũy kế
(USD)</t>
  </si>
  <si>
    <t>Số DN có báo cáo</t>
  </si>
  <si>
    <t>Doanh nghiệp nhà nước</t>
  </si>
  <si>
    <t>Doanh nghiệp ngoài nhà nước</t>
  </si>
  <si>
    <t>TOÀN TỈNH</t>
  </si>
  <si>
    <t>Sản phẩm
 chính</t>
  </si>
  <si>
    <t>Loại hình 
DN</t>
  </si>
  <si>
    <t>Khu vực 
kinh tế*</t>
  </si>
  <si>
    <t>Doanh nghiệp có vốn đầu tư nước 
ngoài (FDI)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</si>
</sst>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0.0%"/>
  </numFmts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DF5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FFFDF5"/>
      </patternFill>
    </fill>
    <fill>
      <patternFill patternType="solid">
        <fgColor rgb="FFF3F6F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38">
    <xf numFmtId="0" fontId="0" fillId="0" borderId="0" xfId="0" applyBorder="1"/>
    <xf numFmtId="0" fontId="0" fillId="3" borderId="0" xfId="0" applyFill="1" applyBorder="1"/>
    <xf numFmtId="49" fontId="0" fillId="3" borderId="0" xfId="0" applyNumberFormat="1" applyFill="1" applyBorder="1"/>
    <xf numFmtId="164" fontId="0" fillId="4" borderId="0" xfId="0" applyNumberFormat="1" applyFill="1" applyBorder="1" applyAlignment="1">
      <alignment wrapText="1"/>
    </xf>
    <xf numFmtId="49" fontId="0" fillId="4" borderId="0" xfId="0" applyNumberFormat="1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4" fontId="0" fillId="4" borderId="0" xfId="0" applyNumberFormat="1" applyFill="1" applyBorder="1" applyAlignment="1">
      <alignment wrapText="1"/>
    </xf>
    <xf numFmtId="4" fontId="0" fillId="5" borderId="0" xfId="0" applyNumberFormat="1" applyFill="1" applyBorder="1" applyAlignment="1">
      <alignment wrapText="1"/>
    </xf>
    <xf numFmtId="165" fontId="0" fillId="5" borderId="0" xfId="0" applyNumberFormat="1" applyFill="1" applyBorder="1" applyAlignment="1">
      <alignment wrapText="1"/>
    </xf>
    <xf numFmtId="0" fontId="4" fillId="6" borderId="0" xfId="0" applyFont="1" applyFill="1" applyBorder="1" applyAlignment="1">
      <alignment horizontal="center" vertical="center" wrapText="1"/>
    </xf>
    <xf numFmtId="0" fontId="0" fillId="7" borderId="0" xfId="0" applyFill="1" applyBorder="1"/>
    <xf numFmtId="0" fontId="0" fillId="8" borderId="0" xfId="0" applyFill="1" applyBorder="1"/>
    <xf numFmtId="0" fontId="1" fillId="2" borderId="1" xfId="0" applyFont="1" applyFill="1" applyAlignment="1">
      <alignment horizontal="center"/>
    </xf>
    <xf numFmtId="0" fontId="0" fillId="0" borderId="1" xfId="0"/>
    <xf numFmtId="0" fontId="6" fillId="6" borderId="1" xfId="0" applyFont="1" applyFill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49" fontId="0" fillId="3" borderId="2" xfId="0" applyNumberFormat="1" applyFill="1" applyBorder="1"/>
    <xf numFmtId="0" fontId="0" fillId="3" borderId="2" xfId="0" applyFill="1" applyBorder="1"/>
    <xf numFmtId="0" fontId="0" fillId="7" borderId="2" xfId="0" applyFill="1" applyBorder="1"/>
    <xf numFmtId="0" fontId="0" fillId="0" borderId="2" xfId="0" applyBorder="1" applyAlignment="1">
      <alignment wrapText="1"/>
    </xf>
    <xf numFmtId="0" fontId="5" fillId="9" borderId="2" xfId="0" applyFont="1" applyFill="1" applyBorder="1"/>
    <xf numFmtId="0" fontId="7" fillId="2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9" borderId="2" xfId="0" applyFont="1" applyFill="1" applyBorder="1"/>
    <xf numFmtId="0" fontId="4" fillId="6" borderId="2" xfId="0" applyFont="1" applyFill="1" applyBorder="1" applyAlignment="1">
      <alignment horizontal="center" wrapText="1"/>
    </xf>
    <xf numFmtId="0" fontId="0" fillId="0" borderId="2" xfId="0" applyBorder="1"/>
    <xf numFmtId="4" fontId="0" fillId="0" borderId="2" xfId="0" applyNumberFormat="1" applyBorder="1"/>
    <xf numFmtId="4" fontId="5" fillId="9" borderId="2" xfId="0" applyNumberFormat="1" applyFont="1" applyFill="1" applyBorder="1"/>
    <xf numFmtId="0" fontId="3" fillId="2" borderId="2" xfId="0" applyFont="1" applyFill="1" applyBorder="1" applyAlignment="1">
      <alignment horizontal="center" wrapText="1"/>
    </xf>
    <xf numFmtId="164" fontId="0" fillId="4" borderId="2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4" fontId="0" fillId="4" borderId="2" xfId="0" applyNumberFormat="1" applyFill="1" applyBorder="1" applyAlignment="1">
      <alignment wrapText="1"/>
    </xf>
    <xf numFmtId="4" fontId="0" fillId="5" borderId="2" xfId="0" applyNumberFormat="1" applyFill="1" applyBorder="1" applyAlignment="1">
      <alignment wrapText="1"/>
    </xf>
    <xf numFmtId="165" fontId="0" fillId="5" borderId="2" xfId="0" applyNumberFormat="1" applyFill="1" applyBorder="1" applyAlignment="1">
      <alignment wrapText="1"/>
    </xf>
  </cellXfs>
  <cellStyles count="1">
    <cellStyle name="Normal" xfId="0" builtinId="0"/>
  </cellStyles>
  <dxfs count="4">
    <dxf>
      <fill>
        <patternFill patternType="solid">
          <fgColor indexed="64"/>
          <bgColor rgb="FFFFFDF5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hMucDN" displayName="DanhMucDN" ref="A1:I1001" totalsRowShown="0">
  <tableColumns count="9">
    <tableColumn id="1" xr3:uid="{00000000-0010-0000-0000-000001000000}" name="Mã số thuế*"/>
    <tableColumn id="2" xr3:uid="{00000000-0010-0000-0000-000002000000}" name="Tên doanh nghiệp*"/>
    <tableColumn id="3" xr3:uid="{00000000-0010-0000-0000-000003000000}" name="Địa chỉ"/>
    <tableColumn id="4" xr3:uid="{00000000-0010-0000-0000-000004000000}" name="Xã/Phường/Đặc khu*"/>
    <tableColumn id="5" xr3:uid="{00000000-0010-0000-0000-000005000000}" name="Ngành công nghiệp chính*"/>
    <tableColumn id="6" xr3:uid="{00000000-0010-0000-0000-000006000000}" name="Sản phẩm_x000a_ chính"/>
    <tableColumn id="7" xr3:uid="{00000000-0010-0000-0000-000007000000}" name="Loại hình _x000a_DN"/>
    <tableColumn id="8" xr3:uid="{00000000-0010-0000-0000-000008000000}" name="Trạng thái"/>
    <tableColumn id="9" xr3:uid="{73CACC03-D087-47A8-915E-1544F27260F8}" name="Khu vực _x000a_kinh tế*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oCaoHangThang" displayName="BaoCaoHangThang" ref="A1:AH101" totalsRowShown="0">
  <tableColumns count="34">
    <tableColumn id="1" xr3:uid="{00000000-0010-0000-0100-000001000000}" name="Tháng báo cáo*"/>
    <tableColumn id="2" xr3:uid="{00000000-0010-0000-0100-000002000000}" name="Mã số thuế*"/>
    <tableColumn id="3" xr3:uid="{00000000-0010-0000-0100-000003000000}" name="Tên doanh nghiệp"/>
    <tableColumn id="4" xr3:uid="{00000000-0010-0000-0100-000004000000}" name="Xã/Phường/Đặc khu"/>
    <tableColumn id="5" xr3:uid="{00000000-0010-0000-0100-000005000000}" name="Ngành chính"/>
    <tableColumn id="6" xr3:uid="{00000000-0010-0000-0100-000006000000}" name="Sản lượng"/>
    <tableColumn id="7" xr3:uid="{00000000-0010-0000-0100-000007000000}" name="ĐVT"/>
    <tableColumn id="8" xr3:uid="{00000000-0010-0000-0100-000008000000}" name="GTSXCN tháng_x000a_(triệu đồng)*"/>
    <tableColumn id="9" xr3:uid="{00000000-0010-0000-0100-000009000000}" name="Xuất khẩu tháng_x000a_(USD)*"/>
    <tableColumn id="10" xr3:uid="{00000000-0010-0000-0100-00000A000000}" name="Nhập khẩu tháng_x000a_(USD)*"/>
    <tableColumn id="11" xr3:uid="{00000000-0010-0000-0100-00000B000000}" name="Thị trường XK chính"/>
    <tableColumn id="12" xr3:uid="{00000000-0010-0000-0100-00000C000000}" name="Ghi chú"/>
    <tableColumn id="13" xr3:uid="{00000000-0010-0000-0100-00000D000000}" name="GTSX tháng trước"/>
    <tableColumn id="14" xr3:uid="{00000000-0010-0000-0100-00000E000000}" name="% GTSX so tháng trước"/>
    <tableColumn id="15" xr3:uid="{00000000-0010-0000-0100-00000F000000}" name="GTSX cùng kỳ"/>
    <tableColumn id="16" xr3:uid="{00000000-0010-0000-0100-000010000000}" name="% GTSX so cùng kỳ"/>
    <tableColumn id="17" xr3:uid="{00000000-0010-0000-0100-000011000000}" name="GTSX lũy kế"/>
    <tableColumn id="18" xr3:uid="{00000000-0010-0000-0100-000012000000}" name="GTSX LK cùng kỳ"/>
    <tableColumn id="19" xr3:uid="{00000000-0010-0000-0100-000013000000}" name="% GTSX LK cùng kỳ"/>
    <tableColumn id="20" xr3:uid="{00000000-0010-0000-0100-000014000000}" name="XK tháng trước"/>
    <tableColumn id="21" xr3:uid="{00000000-0010-0000-0100-000015000000}" name="% XK so tháng trước"/>
    <tableColumn id="22" xr3:uid="{00000000-0010-0000-0100-000016000000}" name="XK cùng kỳ"/>
    <tableColumn id="23" xr3:uid="{00000000-0010-0000-0100-000017000000}" name="% XK so cùng kỳ"/>
    <tableColumn id="24" xr3:uid="{00000000-0010-0000-0100-000018000000}" name="XK lũy kế"/>
    <tableColumn id="25" xr3:uid="{00000000-0010-0000-0100-000019000000}" name="XK LK cùng kỳ"/>
    <tableColumn id="26" xr3:uid="{00000000-0010-0000-0100-00001A000000}" name="% XK LK cùng kỳ"/>
    <tableColumn id="27" xr3:uid="{00000000-0010-0000-0100-00001B000000}" name="NK tháng trước"/>
    <tableColumn id="28" xr3:uid="{00000000-0010-0000-0100-00001C000000}" name="% NK so tháng trước"/>
    <tableColumn id="29" xr3:uid="{00000000-0010-0000-0100-00001D000000}" name="NK cùng kỳ"/>
    <tableColumn id="30" xr3:uid="{00000000-0010-0000-0100-00001E000000}" name="% NK so cùng kỳ"/>
    <tableColumn id="31" xr3:uid="{00000000-0010-0000-0100-00001F000000}" name="NK lũy kế"/>
    <tableColumn id="32" xr3:uid="{00000000-0010-0000-0100-000020000000}" name="NK LK cùng kỳ"/>
    <tableColumn id="33" xr3:uid="{00000000-0010-0000-0100-000021000000}" name="% NK LK cùng kỳ"/>
    <tableColumn id="34" xr3:uid="{00000000-0010-0000-0100-000022000000}" name="CẢNH B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B18" sqref="B18"/>
    </sheetView>
  </sheetViews>
  <sheetFormatPr defaultRowHeight="14.25"/>
  <cols>
    <col min="1" max="1" width="23.375" customWidth="1"/>
    <col min="2" max="2" width="99.125" customWidth="1"/>
  </cols>
  <sheetData>
    <row r="1" spans="1:6" ht="18">
      <c r="A1" s="13" t="s">
        <v>0</v>
      </c>
      <c r="B1" s="14"/>
      <c r="C1" s="14"/>
      <c r="D1" s="14"/>
      <c r="E1" s="14"/>
      <c r="F1" s="14"/>
    </row>
    <row r="3" spans="1:6" ht="18.75">
      <c r="A3" s="23" t="s">
        <v>1</v>
      </c>
      <c r="B3" s="23" t="s">
        <v>2</v>
      </c>
    </row>
    <row r="4" spans="1:6" ht="18.75">
      <c r="A4" s="24" t="s">
        <v>3</v>
      </c>
      <c r="B4" s="24" t="s">
        <v>4</v>
      </c>
    </row>
    <row r="5" spans="1:6" ht="18.75">
      <c r="A5" s="24" t="s">
        <v>5</v>
      </c>
      <c r="B5" s="24" t="s">
        <v>6</v>
      </c>
    </row>
    <row r="6" spans="1:6" ht="18.75">
      <c r="A6" s="24" t="s">
        <v>7</v>
      </c>
      <c r="B6" s="24" t="s">
        <v>8</v>
      </c>
    </row>
    <row r="7" spans="1:6" ht="18.75">
      <c r="A7" s="24" t="s">
        <v>9</v>
      </c>
      <c r="B7" s="24" t="s">
        <v>10</v>
      </c>
    </row>
    <row r="8" spans="1:6" ht="18.75">
      <c r="A8" s="24" t="s">
        <v>11</v>
      </c>
      <c r="B8" s="24" t="s">
        <v>12</v>
      </c>
    </row>
    <row r="9" spans="1:6" ht="18.75">
      <c r="A9" s="24" t="s">
        <v>13</v>
      </c>
      <c r="B9" s="24" t="s">
        <v>14</v>
      </c>
    </row>
    <row r="10" spans="1:6" ht="18.75">
      <c r="A10" s="24" t="s">
        <v>15</v>
      </c>
      <c r="B10" s="24" t="s">
        <v>16</v>
      </c>
    </row>
    <row r="11" spans="1:6" ht="18.75">
      <c r="A11" s="24" t="s">
        <v>17</v>
      </c>
      <c r="B11" s="24" t="s">
        <v>18</v>
      </c>
    </row>
    <row r="12" spans="1:6" ht="37.5">
      <c r="A12" s="25" t="s">
        <v>19</v>
      </c>
      <c r="B12" s="24" t="s">
        <v>20</v>
      </c>
    </row>
    <row r="13" spans="1:6" ht="18.75">
      <c r="A13" s="25" t="s">
        <v>21</v>
      </c>
      <c r="B13" s="24" t="s">
        <v>22</v>
      </c>
    </row>
    <row r="14" spans="1:6" ht="18.75">
      <c r="A14" s="25" t="s">
        <v>23</v>
      </c>
      <c r="B14" s="24" t="s">
        <v>24</v>
      </c>
    </row>
  </sheetData>
  <mergeCells count="1">
    <mergeCell ref="A1:F1"/>
  </mergeCells>
  <pageMargins left="0.2" right="0.45" top="0.5" bottom="0.75" header="0.05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01"/>
  <sheetViews>
    <sheetView workbookViewId="0">
      <selection activeCell="E8" sqref="E8"/>
    </sheetView>
  </sheetViews>
  <sheetFormatPr defaultRowHeight="14.25"/>
  <cols>
    <col min="1" max="1" width="12.75" customWidth="1"/>
    <col min="2" max="2" width="17.875" customWidth="1"/>
    <col min="3" max="3" width="14.875" customWidth="1"/>
    <col min="4" max="4" width="11.375" customWidth="1"/>
    <col min="5" max="5" width="14.625" customWidth="1"/>
    <col min="6" max="6" width="11.375" customWidth="1"/>
    <col min="7" max="7" width="8.75" customWidth="1"/>
    <col min="8" max="8" width="8.875" customWidth="1"/>
    <col min="9" max="9" width="11.75" customWidth="1"/>
  </cols>
  <sheetData>
    <row r="1" spans="1:9" ht="38.25" customHeight="1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  <c r="F1" s="16" t="s">
        <v>76</v>
      </c>
      <c r="G1" s="16" t="s">
        <v>77</v>
      </c>
      <c r="H1" s="16" t="s">
        <v>30</v>
      </c>
      <c r="I1" s="17" t="s">
        <v>78</v>
      </c>
    </row>
    <row r="2" spans="1:9">
      <c r="A2" s="18"/>
      <c r="B2" s="19"/>
      <c r="C2" s="19"/>
      <c r="D2" s="19"/>
      <c r="E2" s="19"/>
      <c r="F2" s="19"/>
      <c r="G2" s="19"/>
      <c r="H2" s="19"/>
      <c r="I2" s="20"/>
    </row>
    <row r="3" spans="1:9">
      <c r="A3" s="18"/>
      <c r="B3" s="19"/>
      <c r="C3" s="19"/>
      <c r="D3" s="19"/>
      <c r="E3" s="19"/>
      <c r="F3" s="19"/>
      <c r="G3" s="19"/>
      <c r="H3" s="19"/>
      <c r="I3" s="20"/>
    </row>
    <row r="4" spans="1:9">
      <c r="A4" s="18"/>
      <c r="B4" s="19"/>
      <c r="C4" s="19"/>
      <c r="D4" s="19"/>
      <c r="E4" s="19"/>
      <c r="F4" s="19"/>
      <c r="G4" s="19"/>
      <c r="H4" s="19"/>
      <c r="I4" s="20"/>
    </row>
    <row r="5" spans="1:9">
      <c r="A5" s="18"/>
      <c r="B5" s="19"/>
      <c r="C5" s="19"/>
      <c r="D5" s="19"/>
      <c r="E5" s="19"/>
      <c r="F5" s="19"/>
      <c r="G5" s="19"/>
      <c r="H5" s="19"/>
      <c r="I5" s="20"/>
    </row>
    <row r="6" spans="1:9">
      <c r="A6" s="18"/>
      <c r="B6" s="19"/>
      <c r="C6" s="19"/>
      <c r="D6" s="19"/>
      <c r="E6" s="19"/>
      <c r="F6" s="19"/>
      <c r="G6" s="19"/>
      <c r="H6" s="19"/>
      <c r="I6" s="20"/>
    </row>
    <row r="7" spans="1:9">
      <c r="A7" s="18"/>
      <c r="B7" s="19"/>
      <c r="C7" s="19"/>
      <c r="D7" s="19"/>
      <c r="E7" s="19"/>
      <c r="F7" s="19"/>
      <c r="G7" s="19"/>
      <c r="H7" s="19"/>
      <c r="I7" s="20"/>
    </row>
    <row r="8" spans="1:9">
      <c r="A8" s="18"/>
      <c r="B8" s="19"/>
      <c r="C8" s="19"/>
      <c r="D8" s="19"/>
      <c r="E8" s="19"/>
      <c r="F8" s="19"/>
      <c r="G8" s="19"/>
      <c r="H8" s="19"/>
      <c r="I8" s="20"/>
    </row>
    <row r="9" spans="1:9">
      <c r="A9" s="18"/>
      <c r="B9" s="19"/>
      <c r="C9" s="19"/>
      <c r="D9" s="19"/>
      <c r="E9" s="19"/>
      <c r="F9" s="19"/>
      <c r="G9" s="19"/>
      <c r="H9" s="19"/>
      <c r="I9" s="20"/>
    </row>
    <row r="10" spans="1:9">
      <c r="A10" s="18"/>
      <c r="B10" s="19"/>
      <c r="C10" s="19"/>
      <c r="D10" s="19"/>
      <c r="E10" s="19"/>
      <c r="F10" s="19"/>
      <c r="G10" s="19"/>
      <c r="H10" s="19"/>
      <c r="I10" s="20"/>
    </row>
    <row r="11" spans="1:9">
      <c r="A11" s="18"/>
      <c r="B11" s="19"/>
      <c r="C11" s="19"/>
      <c r="D11" s="19"/>
      <c r="E11" s="19"/>
      <c r="F11" s="19"/>
      <c r="G11" s="19"/>
      <c r="H11" s="19"/>
      <c r="I11" s="20"/>
    </row>
    <row r="12" spans="1:9">
      <c r="A12" s="18"/>
      <c r="B12" s="19"/>
      <c r="C12" s="19"/>
      <c r="D12" s="19"/>
      <c r="E12" s="19"/>
      <c r="F12" s="19"/>
      <c r="G12" s="19"/>
      <c r="H12" s="19"/>
      <c r="I12" s="20"/>
    </row>
    <row r="13" spans="1:9">
      <c r="A13" s="18"/>
      <c r="B13" s="19"/>
      <c r="C13" s="19"/>
      <c r="D13" s="19"/>
      <c r="E13" s="19"/>
      <c r="F13" s="19"/>
      <c r="G13" s="19"/>
      <c r="H13" s="19"/>
      <c r="I13" s="20"/>
    </row>
    <row r="14" spans="1:9">
      <c r="A14" s="18"/>
      <c r="B14" s="19"/>
      <c r="C14" s="19"/>
      <c r="D14" s="19"/>
      <c r="E14" s="19"/>
      <c r="F14" s="19"/>
      <c r="G14" s="19"/>
      <c r="H14" s="19"/>
      <c r="I14" s="20"/>
    </row>
    <row r="15" spans="1:9">
      <c r="A15" s="18"/>
      <c r="B15" s="19"/>
      <c r="C15" s="19"/>
      <c r="D15" s="19"/>
      <c r="E15" s="19"/>
      <c r="F15" s="19"/>
      <c r="G15" s="19"/>
      <c r="H15" s="19"/>
      <c r="I15" s="20"/>
    </row>
    <row r="16" spans="1:9">
      <c r="A16" s="18"/>
      <c r="B16" s="19"/>
      <c r="C16" s="19"/>
      <c r="D16" s="19"/>
      <c r="E16" s="19"/>
      <c r="F16" s="19"/>
      <c r="G16" s="19"/>
      <c r="H16" s="19"/>
      <c r="I16" s="20"/>
    </row>
    <row r="17" spans="1:9">
      <c r="A17" s="18"/>
      <c r="B17" s="19"/>
      <c r="C17" s="19"/>
      <c r="D17" s="19"/>
      <c r="E17" s="19"/>
      <c r="F17" s="19"/>
      <c r="G17" s="19"/>
      <c r="H17" s="19"/>
      <c r="I17" s="20"/>
    </row>
    <row r="18" spans="1:9">
      <c r="A18" s="18"/>
      <c r="B18" s="19"/>
      <c r="C18" s="19"/>
      <c r="D18" s="19"/>
      <c r="E18" s="19"/>
      <c r="F18" s="19"/>
      <c r="G18" s="19"/>
      <c r="H18" s="19"/>
      <c r="I18" s="20"/>
    </row>
    <row r="19" spans="1:9">
      <c r="A19" s="18"/>
      <c r="B19" s="19"/>
      <c r="C19" s="19"/>
      <c r="D19" s="19"/>
      <c r="E19" s="19"/>
      <c r="F19" s="19"/>
      <c r="G19" s="19"/>
      <c r="H19" s="19"/>
      <c r="I19" s="20"/>
    </row>
    <row r="20" spans="1:9">
      <c r="A20" s="18"/>
      <c r="B20" s="19"/>
      <c r="C20" s="19"/>
      <c r="D20" s="19"/>
      <c r="E20" s="19"/>
      <c r="F20" s="19"/>
      <c r="G20" s="19"/>
      <c r="H20" s="19"/>
      <c r="I20" s="20"/>
    </row>
    <row r="21" spans="1:9">
      <c r="A21" s="18"/>
      <c r="B21" s="19"/>
      <c r="C21" s="19"/>
      <c r="D21" s="19"/>
      <c r="E21" s="19"/>
      <c r="F21" s="19"/>
      <c r="G21" s="19"/>
      <c r="H21" s="19"/>
      <c r="I21" s="20"/>
    </row>
    <row r="22" spans="1:9">
      <c r="A22" s="18"/>
      <c r="B22" s="19"/>
      <c r="C22" s="19"/>
      <c r="D22" s="19"/>
      <c r="E22" s="19"/>
      <c r="F22" s="19"/>
      <c r="G22" s="19"/>
      <c r="H22" s="19"/>
      <c r="I22" s="20"/>
    </row>
    <row r="23" spans="1:9">
      <c r="A23" s="18"/>
      <c r="B23" s="19"/>
      <c r="C23" s="19"/>
      <c r="D23" s="19"/>
      <c r="E23" s="19"/>
      <c r="F23" s="19"/>
      <c r="G23" s="19"/>
      <c r="H23" s="19"/>
      <c r="I23" s="20"/>
    </row>
    <row r="24" spans="1:9">
      <c r="A24" s="18"/>
      <c r="B24" s="19"/>
      <c r="C24" s="19"/>
      <c r="D24" s="19"/>
      <c r="E24" s="19"/>
      <c r="F24" s="19"/>
      <c r="G24" s="19"/>
      <c r="H24" s="19"/>
      <c r="I24" s="20"/>
    </row>
    <row r="25" spans="1:9">
      <c r="A25" s="18"/>
      <c r="B25" s="19"/>
      <c r="C25" s="19"/>
      <c r="D25" s="19"/>
      <c r="E25" s="19"/>
      <c r="F25" s="19"/>
      <c r="G25" s="19"/>
      <c r="H25" s="19"/>
      <c r="I25" s="20"/>
    </row>
    <row r="26" spans="1:9">
      <c r="A26" s="18"/>
      <c r="B26" s="19"/>
      <c r="C26" s="19"/>
      <c r="D26" s="19"/>
      <c r="E26" s="19"/>
      <c r="F26" s="19"/>
      <c r="G26" s="19"/>
      <c r="H26" s="19"/>
      <c r="I26" s="20"/>
    </row>
    <row r="27" spans="1:9">
      <c r="A27" s="18"/>
      <c r="B27" s="19"/>
      <c r="C27" s="19"/>
      <c r="D27" s="19"/>
      <c r="E27" s="19"/>
      <c r="F27" s="19"/>
      <c r="G27" s="19"/>
      <c r="H27" s="19"/>
      <c r="I27" s="20"/>
    </row>
    <row r="28" spans="1:9">
      <c r="A28" s="2"/>
      <c r="B28" s="1"/>
      <c r="C28" s="1"/>
      <c r="D28" s="1"/>
      <c r="E28" s="1"/>
      <c r="F28" s="1"/>
      <c r="G28" s="1"/>
      <c r="H28" s="1"/>
      <c r="I28" s="11"/>
    </row>
    <row r="29" spans="1:9">
      <c r="A29" s="2"/>
      <c r="B29" s="1"/>
      <c r="C29" s="1"/>
      <c r="D29" s="1"/>
      <c r="E29" s="1"/>
      <c r="F29" s="1"/>
      <c r="G29" s="1"/>
      <c r="H29" s="1"/>
      <c r="I29" s="11"/>
    </row>
    <row r="30" spans="1:9">
      <c r="A30" s="2"/>
      <c r="B30" s="1"/>
      <c r="C30" s="1"/>
      <c r="D30" s="1"/>
      <c r="E30" s="1"/>
      <c r="F30" s="1"/>
      <c r="G30" s="1"/>
      <c r="H30" s="1"/>
      <c r="I30" s="11"/>
    </row>
    <row r="31" spans="1:9">
      <c r="A31" s="2"/>
      <c r="B31" s="1"/>
      <c r="C31" s="1"/>
      <c r="D31" s="1"/>
      <c r="E31" s="1"/>
      <c r="F31" s="1"/>
      <c r="G31" s="1"/>
      <c r="H31" s="1"/>
      <c r="I31" s="11"/>
    </row>
    <row r="32" spans="1:9">
      <c r="A32" s="2"/>
      <c r="B32" s="1"/>
      <c r="C32" s="1"/>
      <c r="D32" s="1"/>
      <c r="E32" s="1"/>
      <c r="F32" s="1"/>
      <c r="G32" s="1"/>
      <c r="H32" s="1"/>
      <c r="I32" s="11"/>
    </row>
    <row r="33" spans="1:9">
      <c r="A33" s="2"/>
      <c r="B33" s="1"/>
      <c r="C33" s="1"/>
      <c r="D33" s="1"/>
      <c r="E33" s="1"/>
      <c r="F33" s="1"/>
      <c r="G33" s="1"/>
      <c r="H33" s="1"/>
      <c r="I33" s="11"/>
    </row>
    <row r="34" spans="1:9">
      <c r="A34" s="2"/>
      <c r="B34" s="1"/>
      <c r="C34" s="1"/>
      <c r="D34" s="1"/>
      <c r="E34" s="1"/>
      <c r="F34" s="1"/>
      <c r="G34" s="1"/>
      <c r="H34" s="1"/>
      <c r="I34" s="11"/>
    </row>
    <row r="35" spans="1:9">
      <c r="A35" s="2"/>
      <c r="B35" s="1"/>
      <c r="C35" s="1"/>
      <c r="D35" s="1"/>
      <c r="E35" s="1"/>
      <c r="F35" s="1"/>
      <c r="G35" s="1"/>
      <c r="H35" s="1"/>
      <c r="I35" s="11"/>
    </row>
    <row r="36" spans="1:9">
      <c r="A36" s="2"/>
      <c r="B36" s="1"/>
      <c r="C36" s="1"/>
      <c r="D36" s="1"/>
      <c r="E36" s="1"/>
      <c r="F36" s="1"/>
      <c r="G36" s="1"/>
      <c r="H36" s="1"/>
      <c r="I36" s="11"/>
    </row>
    <row r="37" spans="1:9">
      <c r="A37" s="2"/>
      <c r="B37" s="1"/>
      <c r="C37" s="1"/>
      <c r="D37" s="1"/>
      <c r="E37" s="1"/>
      <c r="F37" s="1"/>
      <c r="G37" s="1"/>
      <c r="H37" s="1"/>
      <c r="I37" s="11"/>
    </row>
    <row r="38" spans="1:9">
      <c r="A38" s="2"/>
      <c r="B38" s="1"/>
      <c r="C38" s="1"/>
      <c r="D38" s="1"/>
      <c r="E38" s="1"/>
      <c r="F38" s="1"/>
      <c r="G38" s="1"/>
      <c r="H38" s="1"/>
      <c r="I38" s="11"/>
    </row>
    <row r="39" spans="1:9">
      <c r="A39" s="2"/>
      <c r="B39" s="1"/>
      <c r="C39" s="1"/>
      <c r="D39" s="1"/>
      <c r="E39" s="1"/>
      <c r="F39" s="1"/>
      <c r="G39" s="1"/>
      <c r="H39" s="1"/>
      <c r="I39" s="11"/>
    </row>
    <row r="40" spans="1:9">
      <c r="A40" s="2"/>
      <c r="B40" s="1"/>
      <c r="C40" s="1"/>
      <c r="D40" s="1"/>
      <c r="E40" s="1"/>
      <c r="F40" s="1"/>
      <c r="G40" s="1"/>
      <c r="H40" s="1"/>
      <c r="I40" s="11"/>
    </row>
    <row r="41" spans="1:9">
      <c r="A41" s="2"/>
      <c r="B41" s="1"/>
      <c r="C41" s="1"/>
      <c r="D41" s="1"/>
      <c r="E41" s="1"/>
      <c r="F41" s="1"/>
      <c r="G41" s="1"/>
      <c r="H41" s="1"/>
      <c r="I41" s="11"/>
    </row>
    <row r="42" spans="1:9">
      <c r="A42" s="2"/>
      <c r="B42" s="1"/>
      <c r="C42" s="1"/>
      <c r="D42" s="1"/>
      <c r="E42" s="1"/>
      <c r="F42" s="1"/>
      <c r="G42" s="1"/>
      <c r="H42" s="1"/>
      <c r="I42" s="11"/>
    </row>
    <row r="43" spans="1:9">
      <c r="A43" s="2"/>
      <c r="B43" s="1"/>
      <c r="C43" s="1"/>
      <c r="D43" s="1"/>
      <c r="E43" s="1"/>
      <c r="F43" s="1"/>
      <c r="G43" s="1"/>
      <c r="H43" s="1"/>
      <c r="I43" s="11"/>
    </row>
    <row r="44" spans="1:9">
      <c r="A44" s="2"/>
      <c r="B44" s="1"/>
      <c r="C44" s="1"/>
      <c r="D44" s="1"/>
      <c r="E44" s="1"/>
      <c r="F44" s="1"/>
      <c r="G44" s="1"/>
      <c r="H44" s="1"/>
      <c r="I44" s="11"/>
    </row>
    <row r="45" spans="1:9">
      <c r="A45" s="2"/>
      <c r="B45" s="1"/>
      <c r="C45" s="1"/>
      <c r="D45" s="1"/>
      <c r="E45" s="1"/>
      <c r="F45" s="1"/>
      <c r="G45" s="1"/>
      <c r="H45" s="1"/>
      <c r="I45" s="11"/>
    </row>
    <row r="46" spans="1:9">
      <c r="A46" s="2"/>
      <c r="B46" s="1"/>
      <c r="C46" s="1"/>
      <c r="D46" s="1"/>
      <c r="E46" s="1"/>
      <c r="F46" s="1"/>
      <c r="G46" s="1"/>
      <c r="H46" s="1"/>
      <c r="I46" s="11"/>
    </row>
    <row r="47" spans="1:9">
      <c r="A47" s="2"/>
      <c r="B47" s="1"/>
      <c r="C47" s="1"/>
      <c r="D47" s="1"/>
      <c r="E47" s="1"/>
      <c r="F47" s="1"/>
      <c r="G47" s="1"/>
      <c r="H47" s="1"/>
      <c r="I47" s="11"/>
    </row>
    <row r="48" spans="1:9">
      <c r="A48" s="2"/>
      <c r="B48" s="1"/>
      <c r="C48" s="1"/>
      <c r="D48" s="1"/>
      <c r="E48" s="1"/>
      <c r="F48" s="1"/>
      <c r="G48" s="1"/>
      <c r="H48" s="1"/>
      <c r="I48" s="11"/>
    </row>
    <row r="49" spans="1:9">
      <c r="A49" s="2"/>
      <c r="B49" s="1"/>
      <c r="C49" s="1"/>
      <c r="D49" s="1"/>
      <c r="E49" s="1"/>
      <c r="F49" s="1"/>
      <c r="G49" s="1"/>
      <c r="H49" s="1"/>
      <c r="I49" s="11"/>
    </row>
    <row r="50" spans="1:9">
      <c r="A50" s="2"/>
      <c r="B50" s="1"/>
      <c r="C50" s="1"/>
      <c r="D50" s="1"/>
      <c r="E50" s="1"/>
      <c r="F50" s="1"/>
      <c r="G50" s="1"/>
      <c r="H50" s="1"/>
      <c r="I50" s="11"/>
    </row>
    <row r="51" spans="1:9">
      <c r="A51" s="2"/>
      <c r="B51" s="1"/>
      <c r="C51" s="1"/>
      <c r="D51" s="1"/>
      <c r="E51" s="1"/>
      <c r="F51" s="1"/>
      <c r="G51" s="1"/>
      <c r="H51" s="1"/>
      <c r="I51" s="11"/>
    </row>
    <row r="52" spans="1:9">
      <c r="A52" s="2"/>
      <c r="B52" s="1"/>
      <c r="C52" s="1"/>
      <c r="D52" s="1"/>
      <c r="E52" s="1"/>
      <c r="F52" s="1"/>
      <c r="G52" s="1"/>
      <c r="H52" s="1"/>
      <c r="I52" s="11"/>
    </row>
    <row r="53" spans="1:9">
      <c r="A53" s="2"/>
      <c r="B53" s="1"/>
      <c r="C53" s="1"/>
      <c r="D53" s="1"/>
      <c r="E53" s="1"/>
      <c r="F53" s="1"/>
      <c r="G53" s="1"/>
      <c r="H53" s="1"/>
      <c r="I53" s="11"/>
    </row>
    <row r="54" spans="1:9">
      <c r="A54" s="2"/>
      <c r="B54" s="1"/>
      <c r="C54" s="1"/>
      <c r="D54" s="1"/>
      <c r="E54" s="1"/>
      <c r="F54" s="1"/>
      <c r="G54" s="1"/>
      <c r="H54" s="1"/>
      <c r="I54" s="11"/>
    </row>
    <row r="55" spans="1:9">
      <c r="A55" s="2"/>
      <c r="B55" s="1"/>
      <c r="C55" s="1"/>
      <c r="D55" s="1"/>
      <c r="E55" s="1"/>
      <c r="F55" s="1"/>
      <c r="G55" s="1"/>
      <c r="H55" s="1"/>
      <c r="I55" s="11"/>
    </row>
    <row r="56" spans="1:9">
      <c r="A56" s="2"/>
      <c r="B56" s="1"/>
      <c r="C56" s="1"/>
      <c r="D56" s="1"/>
      <c r="E56" s="1"/>
      <c r="F56" s="1"/>
      <c r="G56" s="1"/>
      <c r="H56" s="1"/>
      <c r="I56" s="11"/>
    </row>
    <row r="57" spans="1:9">
      <c r="A57" s="2"/>
      <c r="B57" s="1"/>
      <c r="C57" s="1"/>
      <c r="D57" s="1"/>
      <c r="E57" s="1"/>
      <c r="F57" s="1"/>
      <c r="G57" s="1"/>
      <c r="H57" s="1"/>
      <c r="I57" s="11"/>
    </row>
    <row r="58" spans="1:9">
      <c r="A58" s="2"/>
      <c r="B58" s="1"/>
      <c r="C58" s="1"/>
      <c r="D58" s="1"/>
      <c r="E58" s="1"/>
      <c r="F58" s="1"/>
      <c r="G58" s="1"/>
      <c r="H58" s="1"/>
      <c r="I58" s="11"/>
    </row>
    <row r="59" spans="1:9">
      <c r="A59" s="2"/>
      <c r="B59" s="1"/>
      <c r="C59" s="1"/>
      <c r="D59" s="1"/>
      <c r="E59" s="1"/>
      <c r="F59" s="1"/>
      <c r="G59" s="1"/>
      <c r="H59" s="1"/>
      <c r="I59" s="11"/>
    </row>
    <row r="60" spans="1:9">
      <c r="A60" s="2"/>
      <c r="B60" s="1"/>
      <c r="C60" s="1"/>
      <c r="D60" s="1"/>
      <c r="E60" s="1"/>
      <c r="F60" s="1"/>
      <c r="G60" s="1"/>
      <c r="H60" s="1"/>
      <c r="I60" s="11"/>
    </row>
    <row r="61" spans="1:9">
      <c r="A61" s="2"/>
      <c r="B61" s="1"/>
      <c r="C61" s="1"/>
      <c r="D61" s="1"/>
      <c r="E61" s="1"/>
      <c r="F61" s="1"/>
      <c r="G61" s="1"/>
      <c r="H61" s="1"/>
      <c r="I61" s="11"/>
    </row>
    <row r="62" spans="1:9">
      <c r="A62" s="2"/>
      <c r="B62" s="1"/>
      <c r="C62" s="1"/>
      <c r="D62" s="1"/>
      <c r="E62" s="1"/>
      <c r="F62" s="1"/>
      <c r="G62" s="1"/>
      <c r="H62" s="1"/>
      <c r="I62" s="11"/>
    </row>
    <row r="63" spans="1:9">
      <c r="A63" s="2"/>
      <c r="B63" s="1"/>
      <c r="C63" s="1"/>
      <c r="D63" s="1"/>
      <c r="E63" s="1"/>
      <c r="F63" s="1"/>
      <c r="G63" s="1"/>
      <c r="H63" s="1"/>
      <c r="I63" s="11"/>
    </row>
    <row r="64" spans="1:9">
      <c r="A64" s="2"/>
      <c r="B64" s="1"/>
      <c r="C64" s="1"/>
      <c r="D64" s="1"/>
      <c r="E64" s="1"/>
      <c r="F64" s="1"/>
      <c r="G64" s="1"/>
      <c r="H64" s="1"/>
      <c r="I64" s="11"/>
    </row>
    <row r="65" spans="1:9">
      <c r="A65" s="2"/>
      <c r="B65" s="1"/>
      <c r="C65" s="1"/>
      <c r="D65" s="1"/>
      <c r="E65" s="1"/>
      <c r="F65" s="1"/>
      <c r="G65" s="1"/>
      <c r="H65" s="1"/>
      <c r="I65" s="11"/>
    </row>
    <row r="66" spans="1:9">
      <c r="A66" s="2"/>
      <c r="B66" s="1"/>
      <c r="C66" s="1"/>
      <c r="D66" s="1"/>
      <c r="E66" s="1"/>
      <c r="F66" s="1"/>
      <c r="G66" s="1"/>
      <c r="H66" s="1"/>
      <c r="I66" s="11"/>
    </row>
    <row r="67" spans="1:9">
      <c r="A67" s="2"/>
      <c r="B67" s="1"/>
      <c r="C67" s="1"/>
      <c r="D67" s="1"/>
      <c r="E67" s="1"/>
      <c r="F67" s="1"/>
      <c r="G67" s="1"/>
      <c r="H67" s="1"/>
      <c r="I67" s="11"/>
    </row>
    <row r="68" spans="1:9">
      <c r="A68" s="2"/>
      <c r="B68" s="1"/>
      <c r="C68" s="1"/>
      <c r="D68" s="1"/>
      <c r="E68" s="1"/>
      <c r="F68" s="1"/>
      <c r="G68" s="1"/>
      <c r="H68" s="1"/>
      <c r="I68" s="11"/>
    </row>
    <row r="69" spans="1:9">
      <c r="A69" s="2"/>
      <c r="B69" s="1"/>
      <c r="C69" s="1"/>
      <c r="D69" s="1"/>
      <c r="E69" s="1"/>
      <c r="F69" s="1"/>
      <c r="G69" s="1"/>
      <c r="H69" s="1"/>
      <c r="I69" s="11"/>
    </row>
    <row r="70" spans="1:9">
      <c r="A70" s="2"/>
      <c r="B70" s="1"/>
      <c r="C70" s="1"/>
      <c r="D70" s="1"/>
      <c r="E70" s="1"/>
      <c r="F70" s="1"/>
      <c r="G70" s="1"/>
      <c r="H70" s="1"/>
      <c r="I70" s="11"/>
    </row>
    <row r="71" spans="1:9">
      <c r="A71" s="2"/>
      <c r="B71" s="1"/>
      <c r="C71" s="1"/>
      <c r="D71" s="1"/>
      <c r="E71" s="1"/>
      <c r="F71" s="1"/>
      <c r="G71" s="1"/>
      <c r="H71" s="1"/>
      <c r="I71" s="11"/>
    </row>
    <row r="72" spans="1:9">
      <c r="A72" s="2"/>
      <c r="B72" s="1"/>
      <c r="C72" s="1"/>
      <c r="D72" s="1"/>
      <c r="E72" s="1"/>
      <c r="F72" s="1"/>
      <c r="G72" s="1"/>
      <c r="H72" s="1"/>
      <c r="I72" s="11"/>
    </row>
    <row r="73" spans="1:9">
      <c r="A73" s="2"/>
      <c r="B73" s="1"/>
      <c r="C73" s="1"/>
      <c r="D73" s="1"/>
      <c r="E73" s="1"/>
      <c r="F73" s="1"/>
      <c r="G73" s="1"/>
      <c r="H73" s="1"/>
      <c r="I73" s="11"/>
    </row>
    <row r="74" spans="1:9">
      <c r="A74" s="2"/>
      <c r="B74" s="1"/>
      <c r="C74" s="1"/>
      <c r="D74" s="1"/>
      <c r="E74" s="1"/>
      <c r="F74" s="1"/>
      <c r="G74" s="1"/>
      <c r="H74" s="1"/>
      <c r="I74" s="11"/>
    </row>
    <row r="75" spans="1:9">
      <c r="A75" s="2"/>
      <c r="B75" s="1"/>
      <c r="C75" s="1"/>
      <c r="D75" s="1"/>
      <c r="E75" s="1"/>
      <c r="F75" s="1"/>
      <c r="G75" s="1"/>
      <c r="H75" s="1"/>
      <c r="I75" s="11"/>
    </row>
    <row r="76" spans="1:9">
      <c r="A76" s="2"/>
      <c r="B76" s="1"/>
      <c r="C76" s="1"/>
      <c r="D76" s="1"/>
      <c r="E76" s="1"/>
      <c r="F76" s="1"/>
      <c r="G76" s="1"/>
      <c r="H76" s="1"/>
      <c r="I76" s="11"/>
    </row>
    <row r="77" spans="1:9">
      <c r="A77" s="2"/>
      <c r="B77" s="1"/>
      <c r="C77" s="1"/>
      <c r="D77" s="1"/>
      <c r="E77" s="1"/>
      <c r="F77" s="1"/>
      <c r="G77" s="1"/>
      <c r="H77" s="1"/>
      <c r="I77" s="11"/>
    </row>
    <row r="78" spans="1:9">
      <c r="A78" s="2"/>
      <c r="B78" s="1"/>
      <c r="C78" s="1"/>
      <c r="D78" s="1"/>
      <c r="E78" s="1"/>
      <c r="F78" s="1"/>
      <c r="G78" s="1"/>
      <c r="H78" s="1"/>
      <c r="I78" s="11"/>
    </row>
    <row r="79" spans="1:9">
      <c r="A79" s="2"/>
      <c r="B79" s="1"/>
      <c r="C79" s="1"/>
      <c r="D79" s="1"/>
      <c r="E79" s="1"/>
      <c r="F79" s="1"/>
      <c r="G79" s="1"/>
      <c r="H79" s="1"/>
      <c r="I79" s="11"/>
    </row>
    <row r="80" spans="1:9">
      <c r="A80" s="2"/>
      <c r="B80" s="1"/>
      <c r="C80" s="1"/>
      <c r="D80" s="1"/>
      <c r="E80" s="1"/>
      <c r="F80" s="1"/>
      <c r="G80" s="1"/>
      <c r="H80" s="1"/>
      <c r="I80" s="11"/>
    </row>
    <row r="81" spans="1:9">
      <c r="A81" s="2"/>
      <c r="B81" s="1"/>
      <c r="C81" s="1"/>
      <c r="D81" s="1"/>
      <c r="E81" s="1"/>
      <c r="F81" s="1"/>
      <c r="G81" s="1"/>
      <c r="H81" s="1"/>
      <c r="I81" s="11"/>
    </row>
    <row r="82" spans="1:9">
      <c r="A82" s="2"/>
      <c r="B82" s="1"/>
      <c r="C82" s="1"/>
      <c r="D82" s="1"/>
      <c r="E82" s="1"/>
      <c r="F82" s="1"/>
      <c r="G82" s="1"/>
      <c r="H82" s="1"/>
      <c r="I82" s="11"/>
    </row>
    <row r="83" spans="1:9">
      <c r="A83" s="2"/>
      <c r="B83" s="1"/>
      <c r="C83" s="1"/>
      <c r="D83" s="1"/>
      <c r="E83" s="1"/>
      <c r="F83" s="1"/>
      <c r="G83" s="1"/>
      <c r="H83" s="1"/>
      <c r="I83" s="11"/>
    </row>
    <row r="84" spans="1:9">
      <c r="A84" s="2"/>
      <c r="B84" s="1"/>
      <c r="C84" s="1"/>
      <c r="D84" s="1"/>
      <c r="E84" s="1"/>
      <c r="F84" s="1"/>
      <c r="G84" s="1"/>
      <c r="H84" s="1"/>
      <c r="I84" s="11"/>
    </row>
    <row r="85" spans="1:9">
      <c r="A85" s="2"/>
      <c r="B85" s="1"/>
      <c r="C85" s="1"/>
      <c r="D85" s="1"/>
      <c r="E85" s="1"/>
      <c r="F85" s="1"/>
      <c r="G85" s="1"/>
      <c r="H85" s="1"/>
      <c r="I85" s="11"/>
    </row>
    <row r="86" spans="1:9">
      <c r="A86" s="2"/>
      <c r="B86" s="1"/>
      <c r="C86" s="1"/>
      <c r="D86" s="1"/>
      <c r="E86" s="1"/>
      <c r="F86" s="1"/>
      <c r="G86" s="1"/>
      <c r="H86" s="1"/>
      <c r="I86" s="11"/>
    </row>
    <row r="87" spans="1:9">
      <c r="A87" s="2"/>
      <c r="B87" s="1"/>
      <c r="C87" s="1"/>
      <c r="D87" s="1"/>
      <c r="E87" s="1"/>
      <c r="F87" s="1"/>
      <c r="G87" s="1"/>
      <c r="H87" s="1"/>
      <c r="I87" s="11"/>
    </row>
    <row r="88" spans="1:9">
      <c r="A88" s="2"/>
      <c r="B88" s="1"/>
      <c r="C88" s="1"/>
      <c r="D88" s="1"/>
      <c r="E88" s="1"/>
      <c r="F88" s="1"/>
      <c r="G88" s="1"/>
      <c r="H88" s="1"/>
      <c r="I88" s="11"/>
    </row>
    <row r="89" spans="1:9">
      <c r="A89" s="2"/>
      <c r="B89" s="1"/>
      <c r="C89" s="1"/>
      <c r="D89" s="1"/>
      <c r="E89" s="1"/>
      <c r="F89" s="1"/>
      <c r="G89" s="1"/>
      <c r="H89" s="1"/>
      <c r="I89" s="11"/>
    </row>
    <row r="90" spans="1:9">
      <c r="A90" s="2"/>
      <c r="B90" s="1"/>
      <c r="C90" s="1"/>
      <c r="D90" s="1"/>
      <c r="E90" s="1"/>
      <c r="F90" s="1"/>
      <c r="G90" s="1"/>
      <c r="H90" s="1"/>
      <c r="I90" s="11"/>
    </row>
    <row r="91" spans="1:9">
      <c r="A91" s="2"/>
      <c r="B91" s="1"/>
      <c r="C91" s="1"/>
      <c r="D91" s="1"/>
      <c r="E91" s="1"/>
      <c r="F91" s="1"/>
      <c r="G91" s="1"/>
      <c r="H91" s="1"/>
      <c r="I91" s="11"/>
    </row>
    <row r="92" spans="1:9">
      <c r="A92" s="2"/>
      <c r="B92" s="1"/>
      <c r="C92" s="1"/>
      <c r="D92" s="1"/>
      <c r="E92" s="1"/>
      <c r="F92" s="1"/>
      <c r="G92" s="1"/>
      <c r="H92" s="1"/>
      <c r="I92" s="11"/>
    </row>
    <row r="93" spans="1:9">
      <c r="A93" s="2"/>
      <c r="B93" s="1"/>
      <c r="C93" s="1"/>
      <c r="D93" s="1"/>
      <c r="E93" s="1"/>
      <c r="F93" s="1"/>
      <c r="G93" s="1"/>
      <c r="H93" s="1"/>
      <c r="I93" s="11"/>
    </row>
    <row r="94" spans="1:9">
      <c r="A94" s="2"/>
      <c r="B94" s="1"/>
      <c r="C94" s="1"/>
      <c r="D94" s="1"/>
      <c r="E94" s="1"/>
      <c r="F94" s="1"/>
      <c r="G94" s="1"/>
      <c r="H94" s="1"/>
      <c r="I94" s="11"/>
    </row>
    <row r="95" spans="1:9">
      <c r="A95" s="2"/>
      <c r="B95" s="1"/>
      <c r="C95" s="1"/>
      <c r="D95" s="1"/>
      <c r="E95" s="1"/>
      <c r="F95" s="1"/>
      <c r="G95" s="1"/>
      <c r="H95" s="1"/>
      <c r="I95" s="11"/>
    </row>
    <row r="96" spans="1:9">
      <c r="A96" s="2"/>
      <c r="B96" s="1"/>
      <c r="C96" s="1"/>
      <c r="D96" s="1"/>
      <c r="E96" s="1"/>
      <c r="F96" s="1"/>
      <c r="G96" s="1"/>
      <c r="H96" s="1"/>
      <c r="I96" s="11"/>
    </row>
    <row r="97" spans="1:9">
      <c r="A97" s="2"/>
      <c r="B97" s="1"/>
      <c r="C97" s="1"/>
      <c r="D97" s="1"/>
      <c r="E97" s="1"/>
      <c r="F97" s="1"/>
      <c r="G97" s="1"/>
      <c r="H97" s="1"/>
      <c r="I97" s="11"/>
    </row>
    <row r="98" spans="1:9">
      <c r="A98" s="2"/>
      <c r="B98" s="1"/>
      <c r="C98" s="1"/>
      <c r="D98" s="1"/>
      <c r="E98" s="1"/>
      <c r="F98" s="1"/>
      <c r="G98" s="1"/>
      <c r="H98" s="1"/>
      <c r="I98" s="11"/>
    </row>
    <row r="99" spans="1:9">
      <c r="A99" s="2"/>
      <c r="B99" s="1"/>
      <c r="C99" s="1"/>
      <c r="D99" s="1"/>
      <c r="E99" s="1"/>
      <c r="F99" s="1"/>
      <c r="G99" s="1"/>
      <c r="H99" s="1"/>
      <c r="I99" s="11"/>
    </row>
    <row r="100" spans="1:9">
      <c r="A100" s="2"/>
      <c r="B100" s="1"/>
      <c r="C100" s="1"/>
      <c r="D100" s="1"/>
      <c r="E100" s="1"/>
      <c r="F100" s="1"/>
      <c r="G100" s="1"/>
      <c r="H100" s="1"/>
      <c r="I100" s="11"/>
    </row>
    <row r="101" spans="1:9">
      <c r="A101" s="2"/>
      <c r="B101" s="1"/>
      <c r="C101" s="1"/>
      <c r="D101" s="1"/>
      <c r="E101" s="1"/>
      <c r="F101" s="1"/>
      <c r="G101" s="1"/>
      <c r="H101" s="1"/>
      <c r="I101" s="11"/>
    </row>
    <row r="102" spans="1:9">
      <c r="A102" s="2"/>
      <c r="B102" s="1"/>
      <c r="C102" s="1"/>
      <c r="D102" s="1"/>
      <c r="E102" s="1"/>
      <c r="F102" s="1"/>
      <c r="G102" s="1"/>
      <c r="H102" s="1"/>
      <c r="I102" s="11"/>
    </row>
    <row r="103" spans="1:9">
      <c r="A103" s="2"/>
      <c r="B103" s="1"/>
      <c r="C103" s="1"/>
      <c r="D103" s="1"/>
      <c r="E103" s="1"/>
      <c r="F103" s="1"/>
      <c r="G103" s="1"/>
      <c r="H103" s="1"/>
      <c r="I103" s="11"/>
    </row>
    <row r="104" spans="1:9">
      <c r="A104" s="2"/>
      <c r="B104" s="1"/>
      <c r="C104" s="1"/>
      <c r="D104" s="1"/>
      <c r="E104" s="1"/>
      <c r="F104" s="1"/>
      <c r="G104" s="1"/>
      <c r="H104" s="1"/>
      <c r="I104" s="11"/>
    </row>
    <row r="105" spans="1:9">
      <c r="A105" s="2"/>
      <c r="B105" s="1"/>
      <c r="C105" s="1"/>
      <c r="D105" s="1"/>
      <c r="E105" s="1"/>
      <c r="F105" s="1"/>
      <c r="G105" s="1"/>
      <c r="H105" s="1"/>
      <c r="I105" s="11"/>
    </row>
    <row r="106" spans="1:9">
      <c r="A106" s="2"/>
      <c r="B106" s="1"/>
      <c r="C106" s="1"/>
      <c r="D106" s="1"/>
      <c r="E106" s="1"/>
      <c r="F106" s="1"/>
      <c r="G106" s="1"/>
      <c r="H106" s="1"/>
      <c r="I106" s="11"/>
    </row>
    <row r="107" spans="1:9">
      <c r="A107" s="2"/>
      <c r="B107" s="1"/>
      <c r="C107" s="1"/>
      <c r="D107" s="1"/>
      <c r="E107" s="1"/>
      <c r="F107" s="1"/>
      <c r="G107" s="1"/>
      <c r="H107" s="1"/>
      <c r="I107" s="11"/>
    </row>
    <row r="108" spans="1:9">
      <c r="A108" s="2"/>
      <c r="B108" s="1"/>
      <c r="C108" s="1"/>
      <c r="D108" s="1"/>
      <c r="E108" s="1"/>
      <c r="F108" s="1"/>
      <c r="G108" s="1"/>
      <c r="H108" s="1"/>
      <c r="I108" s="11"/>
    </row>
    <row r="109" spans="1:9">
      <c r="A109" s="2"/>
      <c r="B109" s="1"/>
      <c r="C109" s="1"/>
      <c r="D109" s="1"/>
      <c r="E109" s="1"/>
      <c r="F109" s="1"/>
      <c r="G109" s="1"/>
      <c r="H109" s="1"/>
      <c r="I109" s="11"/>
    </row>
    <row r="110" spans="1:9">
      <c r="A110" s="2"/>
      <c r="B110" s="1"/>
      <c r="C110" s="1"/>
      <c r="D110" s="1"/>
      <c r="E110" s="1"/>
      <c r="F110" s="1"/>
      <c r="G110" s="1"/>
      <c r="H110" s="1"/>
      <c r="I110" s="11"/>
    </row>
    <row r="111" spans="1:9">
      <c r="A111" s="2"/>
      <c r="B111" s="1"/>
      <c r="C111" s="1"/>
      <c r="D111" s="1"/>
      <c r="E111" s="1"/>
      <c r="F111" s="1"/>
      <c r="G111" s="1"/>
      <c r="H111" s="1"/>
      <c r="I111" s="11"/>
    </row>
    <row r="112" spans="1:9">
      <c r="A112" s="2"/>
      <c r="B112" s="1"/>
      <c r="C112" s="1"/>
      <c r="D112" s="1"/>
      <c r="E112" s="1"/>
      <c r="F112" s="1"/>
      <c r="G112" s="1"/>
      <c r="H112" s="1"/>
      <c r="I112" s="11"/>
    </row>
    <row r="113" spans="1:9">
      <c r="A113" s="2"/>
      <c r="B113" s="1"/>
      <c r="C113" s="1"/>
      <c r="D113" s="1"/>
      <c r="E113" s="1"/>
      <c r="F113" s="1"/>
      <c r="G113" s="1"/>
      <c r="H113" s="1"/>
      <c r="I113" s="11"/>
    </row>
    <row r="114" spans="1:9">
      <c r="A114" s="2"/>
      <c r="B114" s="1"/>
      <c r="C114" s="1"/>
      <c r="D114" s="1"/>
      <c r="E114" s="1"/>
      <c r="F114" s="1"/>
      <c r="G114" s="1"/>
      <c r="H114" s="1"/>
      <c r="I114" s="11"/>
    </row>
    <row r="115" spans="1:9">
      <c r="A115" s="2"/>
      <c r="B115" s="1"/>
      <c r="C115" s="1"/>
      <c r="D115" s="1"/>
      <c r="E115" s="1"/>
      <c r="F115" s="1"/>
      <c r="G115" s="1"/>
      <c r="H115" s="1"/>
      <c r="I115" s="11"/>
    </row>
    <row r="116" spans="1:9">
      <c r="A116" s="2"/>
      <c r="B116" s="1"/>
      <c r="C116" s="1"/>
      <c r="D116" s="1"/>
      <c r="E116" s="1"/>
      <c r="F116" s="1"/>
      <c r="G116" s="1"/>
      <c r="H116" s="1"/>
      <c r="I116" s="11"/>
    </row>
    <row r="117" spans="1:9">
      <c r="A117" s="2"/>
      <c r="B117" s="1"/>
      <c r="C117" s="1"/>
      <c r="D117" s="1"/>
      <c r="E117" s="1"/>
      <c r="F117" s="1"/>
      <c r="G117" s="1"/>
      <c r="H117" s="1"/>
      <c r="I117" s="11"/>
    </row>
    <row r="118" spans="1:9">
      <c r="A118" s="2"/>
      <c r="B118" s="1"/>
      <c r="C118" s="1"/>
      <c r="D118" s="1"/>
      <c r="E118" s="1"/>
      <c r="F118" s="1"/>
      <c r="G118" s="1"/>
      <c r="H118" s="1"/>
      <c r="I118" s="11"/>
    </row>
    <row r="119" spans="1:9">
      <c r="A119" s="2"/>
      <c r="B119" s="1"/>
      <c r="C119" s="1"/>
      <c r="D119" s="1"/>
      <c r="E119" s="1"/>
      <c r="F119" s="1"/>
      <c r="G119" s="1"/>
      <c r="H119" s="1"/>
      <c r="I119" s="11"/>
    </row>
    <row r="120" spans="1:9">
      <c r="A120" s="2"/>
      <c r="B120" s="1"/>
      <c r="C120" s="1"/>
      <c r="D120" s="1"/>
      <c r="E120" s="1"/>
      <c r="F120" s="1"/>
      <c r="G120" s="1"/>
      <c r="H120" s="1"/>
      <c r="I120" s="11"/>
    </row>
    <row r="121" spans="1:9">
      <c r="A121" s="2"/>
      <c r="B121" s="1"/>
      <c r="C121" s="1"/>
      <c r="D121" s="1"/>
      <c r="E121" s="1"/>
      <c r="F121" s="1"/>
      <c r="G121" s="1"/>
      <c r="H121" s="1"/>
      <c r="I121" s="11"/>
    </row>
    <row r="122" spans="1:9">
      <c r="A122" s="2"/>
      <c r="B122" s="1"/>
      <c r="C122" s="1"/>
      <c r="D122" s="1"/>
      <c r="E122" s="1"/>
      <c r="F122" s="1"/>
      <c r="G122" s="1"/>
      <c r="H122" s="1"/>
      <c r="I122" s="11"/>
    </row>
    <row r="123" spans="1:9">
      <c r="A123" s="2"/>
      <c r="B123" s="1"/>
      <c r="C123" s="1"/>
      <c r="D123" s="1"/>
      <c r="E123" s="1"/>
      <c r="F123" s="1"/>
      <c r="G123" s="1"/>
      <c r="H123" s="1"/>
      <c r="I123" s="11"/>
    </row>
    <row r="124" spans="1:9">
      <c r="A124" s="2"/>
      <c r="B124" s="1"/>
      <c r="C124" s="1"/>
      <c r="D124" s="1"/>
      <c r="E124" s="1"/>
      <c r="F124" s="1"/>
      <c r="G124" s="1"/>
      <c r="H124" s="1"/>
      <c r="I124" s="11"/>
    </row>
    <row r="125" spans="1:9">
      <c r="A125" s="2"/>
      <c r="B125" s="1"/>
      <c r="C125" s="1"/>
      <c r="D125" s="1"/>
      <c r="E125" s="1"/>
      <c r="F125" s="1"/>
      <c r="G125" s="1"/>
      <c r="H125" s="1"/>
      <c r="I125" s="11"/>
    </row>
    <row r="126" spans="1:9">
      <c r="A126" s="2"/>
      <c r="B126" s="1"/>
      <c r="C126" s="1"/>
      <c r="D126" s="1"/>
      <c r="E126" s="1"/>
      <c r="F126" s="1"/>
      <c r="G126" s="1"/>
      <c r="H126" s="1"/>
      <c r="I126" s="11"/>
    </row>
    <row r="127" spans="1:9">
      <c r="A127" s="2"/>
      <c r="B127" s="1"/>
      <c r="C127" s="1"/>
      <c r="D127" s="1"/>
      <c r="E127" s="1"/>
      <c r="F127" s="1"/>
      <c r="G127" s="1"/>
      <c r="H127" s="1"/>
      <c r="I127" s="11"/>
    </row>
    <row r="128" spans="1:9">
      <c r="A128" s="2"/>
      <c r="B128" s="1"/>
      <c r="C128" s="1"/>
      <c r="D128" s="1"/>
      <c r="E128" s="1"/>
      <c r="F128" s="1"/>
      <c r="G128" s="1"/>
      <c r="H128" s="1"/>
      <c r="I128" s="11"/>
    </row>
    <row r="129" spans="1:9">
      <c r="A129" s="2"/>
      <c r="B129" s="1"/>
      <c r="C129" s="1"/>
      <c r="D129" s="1"/>
      <c r="E129" s="1"/>
      <c r="F129" s="1"/>
      <c r="G129" s="1"/>
      <c r="H129" s="1"/>
      <c r="I129" s="11"/>
    </row>
    <row r="130" spans="1:9">
      <c r="A130" s="2"/>
      <c r="B130" s="1"/>
      <c r="C130" s="1"/>
      <c r="D130" s="1"/>
      <c r="E130" s="1"/>
      <c r="F130" s="1"/>
      <c r="G130" s="1"/>
      <c r="H130" s="1"/>
      <c r="I130" s="11"/>
    </row>
    <row r="131" spans="1:9">
      <c r="A131" s="2"/>
      <c r="B131" s="1"/>
      <c r="C131" s="1"/>
      <c r="D131" s="1"/>
      <c r="E131" s="1"/>
      <c r="F131" s="1"/>
      <c r="G131" s="1"/>
      <c r="H131" s="1"/>
      <c r="I131" s="11"/>
    </row>
    <row r="132" spans="1:9">
      <c r="A132" s="2"/>
      <c r="B132" s="1"/>
      <c r="C132" s="1"/>
      <c r="D132" s="1"/>
      <c r="E132" s="1"/>
      <c r="F132" s="1"/>
      <c r="G132" s="1"/>
      <c r="H132" s="1"/>
      <c r="I132" s="11"/>
    </row>
    <row r="133" spans="1:9">
      <c r="A133" s="2"/>
      <c r="B133" s="1"/>
      <c r="C133" s="1"/>
      <c r="D133" s="1"/>
      <c r="E133" s="1"/>
      <c r="F133" s="1"/>
      <c r="G133" s="1"/>
      <c r="H133" s="1"/>
      <c r="I133" s="11"/>
    </row>
    <row r="134" spans="1:9">
      <c r="A134" s="2"/>
      <c r="B134" s="1"/>
      <c r="C134" s="1"/>
      <c r="D134" s="1"/>
      <c r="E134" s="1"/>
      <c r="F134" s="1"/>
      <c r="G134" s="1"/>
      <c r="H134" s="1"/>
      <c r="I134" s="11"/>
    </row>
    <row r="135" spans="1:9">
      <c r="A135" s="2"/>
      <c r="B135" s="1"/>
      <c r="C135" s="1"/>
      <c r="D135" s="1"/>
      <c r="E135" s="1"/>
      <c r="F135" s="1"/>
      <c r="G135" s="1"/>
      <c r="H135" s="1"/>
      <c r="I135" s="11"/>
    </row>
    <row r="136" spans="1:9">
      <c r="A136" s="2"/>
      <c r="B136" s="1"/>
      <c r="C136" s="1"/>
      <c r="D136" s="1"/>
      <c r="E136" s="1"/>
      <c r="F136" s="1"/>
      <c r="G136" s="1"/>
      <c r="H136" s="1"/>
      <c r="I136" s="11"/>
    </row>
    <row r="137" spans="1:9">
      <c r="A137" s="2"/>
      <c r="B137" s="1"/>
      <c r="C137" s="1"/>
      <c r="D137" s="1"/>
      <c r="E137" s="1"/>
      <c r="F137" s="1"/>
      <c r="G137" s="1"/>
      <c r="H137" s="1"/>
      <c r="I137" s="11"/>
    </row>
    <row r="138" spans="1:9">
      <c r="A138" s="2"/>
      <c r="B138" s="1"/>
      <c r="C138" s="1"/>
      <c r="D138" s="1"/>
      <c r="E138" s="1"/>
      <c r="F138" s="1"/>
      <c r="G138" s="1"/>
      <c r="H138" s="1"/>
      <c r="I138" s="11"/>
    </row>
    <row r="139" spans="1:9">
      <c r="A139" s="2"/>
      <c r="B139" s="1"/>
      <c r="C139" s="1"/>
      <c r="D139" s="1"/>
      <c r="E139" s="1"/>
      <c r="F139" s="1"/>
      <c r="G139" s="1"/>
      <c r="H139" s="1"/>
      <c r="I139" s="11"/>
    </row>
    <row r="140" spans="1:9">
      <c r="A140" s="2"/>
      <c r="B140" s="1"/>
      <c r="C140" s="1"/>
      <c r="D140" s="1"/>
      <c r="E140" s="1"/>
      <c r="F140" s="1"/>
      <c r="G140" s="1"/>
      <c r="H140" s="1"/>
      <c r="I140" s="11"/>
    </row>
    <row r="141" spans="1:9">
      <c r="A141" s="2"/>
      <c r="B141" s="1"/>
      <c r="C141" s="1"/>
      <c r="D141" s="1"/>
      <c r="E141" s="1"/>
      <c r="F141" s="1"/>
      <c r="G141" s="1"/>
      <c r="H141" s="1"/>
      <c r="I141" s="11"/>
    </row>
    <row r="142" spans="1:9">
      <c r="A142" s="2"/>
      <c r="B142" s="1"/>
      <c r="C142" s="1"/>
      <c r="D142" s="1"/>
      <c r="E142" s="1"/>
      <c r="F142" s="1"/>
      <c r="G142" s="1"/>
      <c r="H142" s="1"/>
      <c r="I142" s="11"/>
    </row>
    <row r="143" spans="1:9">
      <c r="A143" s="2"/>
      <c r="B143" s="1"/>
      <c r="C143" s="1"/>
      <c r="D143" s="1"/>
      <c r="E143" s="1"/>
      <c r="F143" s="1"/>
      <c r="G143" s="1"/>
      <c r="H143" s="1"/>
      <c r="I143" s="11"/>
    </row>
    <row r="144" spans="1:9">
      <c r="A144" s="2"/>
      <c r="B144" s="1"/>
      <c r="C144" s="1"/>
      <c r="D144" s="1"/>
      <c r="E144" s="1"/>
      <c r="F144" s="1"/>
      <c r="G144" s="1"/>
      <c r="H144" s="1"/>
      <c r="I144" s="11"/>
    </row>
    <row r="145" spans="1:9">
      <c r="A145" s="2"/>
      <c r="B145" s="1"/>
      <c r="C145" s="1"/>
      <c r="D145" s="1"/>
      <c r="E145" s="1"/>
      <c r="F145" s="1"/>
      <c r="G145" s="1"/>
      <c r="H145" s="1"/>
      <c r="I145" s="11"/>
    </row>
    <row r="146" spans="1:9">
      <c r="A146" s="2"/>
      <c r="B146" s="1"/>
      <c r="C146" s="1"/>
      <c r="D146" s="1"/>
      <c r="E146" s="1"/>
      <c r="F146" s="1"/>
      <c r="G146" s="1"/>
      <c r="H146" s="1"/>
      <c r="I146" s="11"/>
    </row>
    <row r="147" spans="1:9">
      <c r="A147" s="2"/>
      <c r="B147" s="1"/>
      <c r="C147" s="1"/>
      <c r="D147" s="1"/>
      <c r="E147" s="1"/>
      <c r="F147" s="1"/>
      <c r="G147" s="1"/>
      <c r="H147" s="1"/>
      <c r="I147" s="11"/>
    </row>
    <row r="148" spans="1:9">
      <c r="A148" s="2"/>
      <c r="B148" s="1"/>
      <c r="C148" s="1"/>
      <c r="D148" s="1"/>
      <c r="E148" s="1"/>
      <c r="F148" s="1"/>
      <c r="G148" s="1"/>
      <c r="H148" s="1"/>
      <c r="I148" s="11"/>
    </row>
    <row r="149" spans="1:9">
      <c r="A149" s="2"/>
      <c r="B149" s="1"/>
      <c r="C149" s="1"/>
      <c r="D149" s="1"/>
      <c r="E149" s="1"/>
      <c r="F149" s="1"/>
      <c r="G149" s="1"/>
      <c r="H149" s="1"/>
      <c r="I149" s="11"/>
    </row>
    <row r="150" spans="1:9">
      <c r="A150" s="2"/>
      <c r="B150" s="1"/>
      <c r="C150" s="1"/>
      <c r="D150" s="1"/>
      <c r="E150" s="1"/>
      <c r="F150" s="1"/>
      <c r="G150" s="1"/>
      <c r="H150" s="1"/>
      <c r="I150" s="11"/>
    </row>
    <row r="151" spans="1:9">
      <c r="A151" s="2"/>
      <c r="B151" s="1"/>
      <c r="C151" s="1"/>
      <c r="D151" s="1"/>
      <c r="E151" s="1"/>
      <c r="F151" s="1"/>
      <c r="G151" s="1"/>
      <c r="H151" s="1"/>
      <c r="I151" s="11"/>
    </row>
    <row r="152" spans="1:9">
      <c r="A152" s="2"/>
      <c r="B152" s="1"/>
      <c r="C152" s="1"/>
      <c r="D152" s="1"/>
      <c r="E152" s="1"/>
      <c r="F152" s="1"/>
      <c r="G152" s="1"/>
      <c r="H152" s="1"/>
      <c r="I152" s="11"/>
    </row>
    <row r="153" spans="1:9">
      <c r="A153" s="2"/>
      <c r="B153" s="1"/>
      <c r="C153" s="1"/>
      <c r="D153" s="1"/>
      <c r="E153" s="1"/>
      <c r="F153" s="1"/>
      <c r="G153" s="1"/>
      <c r="H153" s="1"/>
      <c r="I153" s="11"/>
    </row>
    <row r="154" spans="1:9">
      <c r="A154" s="2"/>
      <c r="B154" s="1"/>
      <c r="C154" s="1"/>
      <c r="D154" s="1"/>
      <c r="E154" s="1"/>
      <c r="F154" s="1"/>
      <c r="G154" s="1"/>
      <c r="H154" s="1"/>
      <c r="I154" s="11"/>
    </row>
    <row r="155" spans="1:9">
      <c r="A155" s="2"/>
      <c r="B155" s="1"/>
      <c r="C155" s="1"/>
      <c r="D155" s="1"/>
      <c r="E155" s="1"/>
      <c r="F155" s="1"/>
      <c r="G155" s="1"/>
      <c r="H155" s="1"/>
      <c r="I155" s="11"/>
    </row>
    <row r="156" spans="1:9">
      <c r="A156" s="2"/>
      <c r="B156" s="1"/>
      <c r="C156" s="1"/>
      <c r="D156" s="1"/>
      <c r="E156" s="1"/>
      <c r="F156" s="1"/>
      <c r="G156" s="1"/>
      <c r="H156" s="1"/>
      <c r="I156" s="11"/>
    </row>
    <row r="157" spans="1:9">
      <c r="A157" s="2"/>
      <c r="B157" s="1"/>
      <c r="C157" s="1"/>
      <c r="D157" s="1"/>
      <c r="E157" s="1"/>
      <c r="F157" s="1"/>
      <c r="G157" s="1"/>
      <c r="H157" s="1"/>
      <c r="I157" s="11"/>
    </row>
    <row r="158" spans="1:9">
      <c r="A158" s="2"/>
      <c r="B158" s="1"/>
      <c r="C158" s="1"/>
      <c r="D158" s="1"/>
      <c r="E158" s="1"/>
      <c r="F158" s="1"/>
      <c r="G158" s="1"/>
      <c r="H158" s="1"/>
      <c r="I158" s="11"/>
    </row>
    <row r="159" spans="1:9">
      <c r="A159" s="2"/>
      <c r="B159" s="1"/>
      <c r="C159" s="1"/>
      <c r="D159" s="1"/>
      <c r="E159" s="1"/>
      <c r="F159" s="1"/>
      <c r="G159" s="1"/>
      <c r="H159" s="1"/>
      <c r="I159" s="11"/>
    </row>
    <row r="160" spans="1:9">
      <c r="A160" s="2"/>
      <c r="B160" s="1"/>
      <c r="C160" s="1"/>
      <c r="D160" s="1"/>
      <c r="E160" s="1"/>
      <c r="F160" s="1"/>
      <c r="G160" s="1"/>
      <c r="H160" s="1"/>
      <c r="I160" s="11"/>
    </row>
    <row r="161" spans="1:9">
      <c r="A161" s="2"/>
      <c r="B161" s="1"/>
      <c r="C161" s="1"/>
      <c r="D161" s="1"/>
      <c r="E161" s="1"/>
      <c r="F161" s="1"/>
      <c r="G161" s="1"/>
      <c r="H161" s="1"/>
      <c r="I161" s="11"/>
    </row>
    <row r="162" spans="1:9">
      <c r="A162" s="2"/>
      <c r="B162" s="1"/>
      <c r="C162" s="1"/>
      <c r="D162" s="1"/>
      <c r="E162" s="1"/>
      <c r="F162" s="1"/>
      <c r="G162" s="1"/>
      <c r="H162" s="1"/>
      <c r="I162" s="11"/>
    </row>
    <row r="163" spans="1:9">
      <c r="A163" s="2"/>
      <c r="B163" s="1"/>
      <c r="C163" s="1"/>
      <c r="D163" s="1"/>
      <c r="E163" s="1"/>
      <c r="F163" s="1"/>
      <c r="G163" s="1"/>
      <c r="H163" s="1"/>
      <c r="I163" s="11"/>
    </row>
    <row r="164" spans="1:9">
      <c r="A164" s="2"/>
      <c r="B164" s="1"/>
      <c r="C164" s="1"/>
      <c r="D164" s="1"/>
      <c r="E164" s="1"/>
      <c r="F164" s="1"/>
      <c r="G164" s="1"/>
      <c r="H164" s="1"/>
      <c r="I164" s="11"/>
    </row>
    <row r="165" spans="1:9">
      <c r="A165" s="2"/>
      <c r="B165" s="1"/>
      <c r="C165" s="1"/>
      <c r="D165" s="1"/>
      <c r="E165" s="1"/>
      <c r="F165" s="1"/>
      <c r="G165" s="1"/>
      <c r="H165" s="1"/>
      <c r="I165" s="11"/>
    </row>
    <row r="166" spans="1:9">
      <c r="A166" s="2"/>
      <c r="B166" s="1"/>
      <c r="C166" s="1"/>
      <c r="D166" s="1"/>
      <c r="E166" s="1"/>
      <c r="F166" s="1"/>
      <c r="G166" s="1"/>
      <c r="H166" s="1"/>
      <c r="I166" s="11"/>
    </row>
    <row r="167" spans="1:9">
      <c r="A167" s="2"/>
      <c r="B167" s="1"/>
      <c r="C167" s="1"/>
      <c r="D167" s="1"/>
      <c r="E167" s="1"/>
      <c r="F167" s="1"/>
      <c r="G167" s="1"/>
      <c r="H167" s="1"/>
      <c r="I167" s="11"/>
    </row>
    <row r="168" spans="1:9">
      <c r="A168" s="2"/>
      <c r="B168" s="1"/>
      <c r="C168" s="1"/>
      <c r="D168" s="1"/>
      <c r="E168" s="1"/>
      <c r="F168" s="1"/>
      <c r="G168" s="1"/>
      <c r="H168" s="1"/>
      <c r="I168" s="11"/>
    </row>
    <row r="169" spans="1:9">
      <c r="A169" s="2"/>
      <c r="B169" s="1"/>
      <c r="C169" s="1"/>
      <c r="D169" s="1"/>
      <c r="E169" s="1"/>
      <c r="F169" s="1"/>
      <c r="G169" s="1"/>
      <c r="H169" s="1"/>
      <c r="I169" s="11"/>
    </row>
    <row r="170" spans="1:9">
      <c r="A170" s="2"/>
      <c r="B170" s="1"/>
      <c r="C170" s="1"/>
      <c r="D170" s="1"/>
      <c r="E170" s="1"/>
      <c r="F170" s="1"/>
      <c r="G170" s="1"/>
      <c r="H170" s="1"/>
      <c r="I170" s="11"/>
    </row>
    <row r="171" spans="1:9">
      <c r="A171" s="2"/>
      <c r="B171" s="1"/>
      <c r="C171" s="1"/>
      <c r="D171" s="1"/>
      <c r="E171" s="1"/>
      <c r="F171" s="1"/>
      <c r="G171" s="1"/>
      <c r="H171" s="1"/>
      <c r="I171" s="11"/>
    </row>
    <row r="172" spans="1:9">
      <c r="A172" s="2"/>
      <c r="B172" s="1"/>
      <c r="C172" s="1"/>
      <c r="D172" s="1"/>
      <c r="E172" s="1"/>
      <c r="F172" s="1"/>
      <c r="G172" s="1"/>
      <c r="H172" s="1"/>
      <c r="I172" s="11"/>
    </row>
    <row r="173" spans="1:9">
      <c r="A173" s="2"/>
      <c r="B173" s="1"/>
      <c r="C173" s="1"/>
      <c r="D173" s="1"/>
      <c r="E173" s="1"/>
      <c r="F173" s="1"/>
      <c r="G173" s="1"/>
      <c r="H173" s="1"/>
      <c r="I173" s="11"/>
    </row>
    <row r="174" spans="1:9">
      <c r="A174" s="2"/>
      <c r="B174" s="1"/>
      <c r="C174" s="1"/>
      <c r="D174" s="1"/>
      <c r="E174" s="1"/>
      <c r="F174" s="1"/>
      <c r="G174" s="1"/>
      <c r="H174" s="1"/>
      <c r="I174" s="11"/>
    </row>
    <row r="175" spans="1:9">
      <c r="A175" s="2"/>
      <c r="B175" s="1"/>
      <c r="C175" s="1"/>
      <c r="D175" s="1"/>
      <c r="E175" s="1"/>
      <c r="F175" s="1"/>
      <c r="G175" s="1"/>
      <c r="H175" s="1"/>
      <c r="I175" s="11"/>
    </row>
    <row r="176" spans="1:9">
      <c r="A176" s="2"/>
      <c r="B176" s="1"/>
      <c r="C176" s="1"/>
      <c r="D176" s="1"/>
      <c r="E176" s="1"/>
      <c r="F176" s="1"/>
      <c r="G176" s="1"/>
      <c r="H176" s="1"/>
      <c r="I176" s="11"/>
    </row>
    <row r="177" spans="1:9">
      <c r="A177" s="2"/>
      <c r="B177" s="1"/>
      <c r="C177" s="1"/>
      <c r="D177" s="1"/>
      <c r="E177" s="1"/>
      <c r="F177" s="1"/>
      <c r="G177" s="1"/>
      <c r="H177" s="1"/>
      <c r="I177" s="11"/>
    </row>
    <row r="178" spans="1:9">
      <c r="A178" s="2"/>
      <c r="B178" s="1"/>
      <c r="C178" s="1"/>
      <c r="D178" s="1"/>
      <c r="E178" s="1"/>
      <c r="F178" s="1"/>
      <c r="G178" s="1"/>
      <c r="H178" s="1"/>
      <c r="I178" s="11"/>
    </row>
    <row r="179" spans="1:9">
      <c r="A179" s="2"/>
      <c r="B179" s="1"/>
      <c r="C179" s="1"/>
      <c r="D179" s="1"/>
      <c r="E179" s="1"/>
      <c r="F179" s="1"/>
      <c r="G179" s="1"/>
      <c r="H179" s="1"/>
      <c r="I179" s="11"/>
    </row>
    <row r="180" spans="1:9">
      <c r="A180" s="2"/>
      <c r="B180" s="1"/>
      <c r="C180" s="1"/>
      <c r="D180" s="1"/>
      <c r="E180" s="1"/>
      <c r="F180" s="1"/>
      <c r="G180" s="1"/>
      <c r="H180" s="1"/>
      <c r="I180" s="11"/>
    </row>
    <row r="181" spans="1:9">
      <c r="A181" s="2"/>
      <c r="B181" s="1"/>
      <c r="C181" s="1"/>
      <c r="D181" s="1"/>
      <c r="E181" s="1"/>
      <c r="F181" s="1"/>
      <c r="G181" s="1"/>
      <c r="H181" s="1"/>
      <c r="I181" s="11"/>
    </row>
    <row r="182" spans="1:9">
      <c r="A182" s="2"/>
      <c r="B182" s="1"/>
      <c r="C182" s="1"/>
      <c r="D182" s="1"/>
      <c r="E182" s="1"/>
      <c r="F182" s="1"/>
      <c r="G182" s="1"/>
      <c r="H182" s="1"/>
      <c r="I182" s="11"/>
    </row>
    <row r="183" spans="1:9">
      <c r="A183" s="2"/>
      <c r="B183" s="1"/>
      <c r="C183" s="1"/>
      <c r="D183" s="1"/>
      <c r="E183" s="1"/>
      <c r="F183" s="1"/>
      <c r="G183" s="1"/>
      <c r="H183" s="1"/>
      <c r="I183" s="11"/>
    </row>
    <row r="184" spans="1:9">
      <c r="A184" s="2"/>
      <c r="B184" s="1"/>
      <c r="C184" s="1"/>
      <c r="D184" s="1"/>
      <c r="E184" s="1"/>
      <c r="F184" s="1"/>
      <c r="G184" s="1"/>
      <c r="H184" s="1"/>
      <c r="I184" s="11"/>
    </row>
    <row r="185" spans="1:9">
      <c r="A185" s="2"/>
      <c r="B185" s="1"/>
      <c r="C185" s="1"/>
      <c r="D185" s="1"/>
      <c r="E185" s="1"/>
      <c r="F185" s="1"/>
      <c r="G185" s="1"/>
      <c r="H185" s="1"/>
      <c r="I185" s="11"/>
    </row>
    <row r="186" spans="1:9">
      <c r="A186" s="2"/>
      <c r="B186" s="1"/>
      <c r="C186" s="1"/>
      <c r="D186" s="1"/>
      <c r="E186" s="1"/>
      <c r="F186" s="1"/>
      <c r="G186" s="1"/>
      <c r="H186" s="1"/>
      <c r="I186" s="11"/>
    </row>
    <row r="187" spans="1:9">
      <c r="A187" s="2"/>
      <c r="B187" s="1"/>
      <c r="C187" s="1"/>
      <c r="D187" s="1"/>
      <c r="E187" s="1"/>
      <c r="F187" s="1"/>
      <c r="G187" s="1"/>
      <c r="H187" s="1"/>
      <c r="I187" s="11"/>
    </row>
    <row r="188" spans="1:9">
      <c r="A188" s="2"/>
      <c r="B188" s="1"/>
      <c r="C188" s="1"/>
      <c r="D188" s="1"/>
      <c r="E188" s="1"/>
      <c r="F188" s="1"/>
      <c r="G188" s="1"/>
      <c r="H188" s="1"/>
      <c r="I188" s="11"/>
    </row>
    <row r="189" spans="1:9">
      <c r="A189" s="2"/>
      <c r="B189" s="1"/>
      <c r="C189" s="1"/>
      <c r="D189" s="1"/>
      <c r="E189" s="1"/>
      <c r="F189" s="1"/>
      <c r="G189" s="1"/>
      <c r="H189" s="1"/>
      <c r="I189" s="11"/>
    </row>
    <row r="190" spans="1:9">
      <c r="A190" s="2"/>
      <c r="B190" s="1"/>
      <c r="C190" s="1"/>
      <c r="D190" s="1"/>
      <c r="E190" s="1"/>
      <c r="F190" s="1"/>
      <c r="G190" s="1"/>
      <c r="H190" s="1"/>
      <c r="I190" s="11"/>
    </row>
    <row r="191" spans="1:9">
      <c r="A191" s="2"/>
      <c r="B191" s="1"/>
      <c r="C191" s="1"/>
      <c r="D191" s="1"/>
      <c r="E191" s="1"/>
      <c r="F191" s="1"/>
      <c r="G191" s="1"/>
      <c r="H191" s="1"/>
      <c r="I191" s="11"/>
    </row>
    <row r="192" spans="1:9">
      <c r="A192" s="2"/>
      <c r="B192" s="1"/>
      <c r="C192" s="1"/>
      <c r="D192" s="1"/>
      <c r="E192" s="1"/>
      <c r="F192" s="1"/>
      <c r="G192" s="1"/>
      <c r="H192" s="1"/>
      <c r="I192" s="11"/>
    </row>
    <row r="193" spans="1:9">
      <c r="A193" s="2"/>
      <c r="B193" s="1"/>
      <c r="C193" s="1"/>
      <c r="D193" s="1"/>
      <c r="E193" s="1"/>
      <c r="F193" s="1"/>
      <c r="G193" s="1"/>
      <c r="H193" s="1"/>
      <c r="I193" s="11"/>
    </row>
    <row r="194" spans="1:9">
      <c r="A194" s="2"/>
      <c r="B194" s="1"/>
      <c r="C194" s="1"/>
      <c r="D194" s="1"/>
      <c r="E194" s="1"/>
      <c r="F194" s="1"/>
      <c r="G194" s="1"/>
      <c r="H194" s="1"/>
      <c r="I194" s="11"/>
    </row>
    <row r="195" spans="1:9">
      <c r="A195" s="2"/>
      <c r="B195" s="1"/>
      <c r="C195" s="1"/>
      <c r="D195" s="1"/>
      <c r="E195" s="1"/>
      <c r="F195" s="1"/>
      <c r="G195" s="1"/>
      <c r="H195" s="1"/>
      <c r="I195" s="11"/>
    </row>
    <row r="196" spans="1:9">
      <c r="A196" s="2"/>
      <c r="B196" s="1"/>
      <c r="C196" s="1"/>
      <c r="D196" s="1"/>
      <c r="E196" s="1"/>
      <c r="F196" s="1"/>
      <c r="G196" s="1"/>
      <c r="H196" s="1"/>
      <c r="I196" s="11"/>
    </row>
    <row r="197" spans="1:9">
      <c r="A197" s="2"/>
      <c r="B197" s="1"/>
      <c r="C197" s="1"/>
      <c r="D197" s="1"/>
      <c r="E197" s="1"/>
      <c r="F197" s="1"/>
      <c r="G197" s="1"/>
      <c r="H197" s="1"/>
      <c r="I197" s="11"/>
    </row>
    <row r="198" spans="1:9">
      <c r="A198" s="2"/>
      <c r="B198" s="1"/>
      <c r="C198" s="1"/>
      <c r="D198" s="1"/>
      <c r="E198" s="1"/>
      <c r="F198" s="1"/>
      <c r="G198" s="1"/>
      <c r="H198" s="1"/>
      <c r="I198" s="11"/>
    </row>
    <row r="199" spans="1:9">
      <c r="A199" s="2"/>
      <c r="B199" s="1"/>
      <c r="C199" s="1"/>
      <c r="D199" s="1"/>
      <c r="E199" s="1"/>
      <c r="F199" s="1"/>
      <c r="G199" s="1"/>
      <c r="H199" s="1"/>
      <c r="I199" s="11"/>
    </row>
    <row r="200" spans="1:9">
      <c r="A200" s="2"/>
      <c r="B200" s="1"/>
      <c r="C200" s="1"/>
      <c r="D200" s="1"/>
      <c r="E200" s="1"/>
      <c r="F200" s="1"/>
      <c r="G200" s="1"/>
      <c r="H200" s="1"/>
      <c r="I200" s="11"/>
    </row>
    <row r="201" spans="1:9">
      <c r="A201" s="2"/>
      <c r="B201" s="1"/>
      <c r="C201" s="1"/>
      <c r="D201" s="1"/>
      <c r="E201" s="1"/>
      <c r="F201" s="1"/>
      <c r="G201" s="1"/>
      <c r="H201" s="1"/>
      <c r="I201" s="11"/>
    </row>
    <row r="202" spans="1:9">
      <c r="A202" s="2"/>
      <c r="B202" s="1"/>
      <c r="C202" s="1"/>
      <c r="D202" s="1"/>
      <c r="E202" s="1"/>
      <c r="F202" s="1"/>
      <c r="G202" s="1"/>
      <c r="H202" s="1"/>
      <c r="I202" s="11"/>
    </row>
    <row r="203" spans="1:9">
      <c r="A203" s="2"/>
      <c r="B203" s="1"/>
      <c r="C203" s="1"/>
      <c r="D203" s="1"/>
      <c r="E203" s="1"/>
      <c r="F203" s="1"/>
      <c r="G203" s="1"/>
      <c r="H203" s="1"/>
      <c r="I203" s="11"/>
    </row>
    <row r="204" spans="1:9">
      <c r="A204" s="2"/>
      <c r="B204" s="1"/>
      <c r="C204" s="1"/>
      <c r="D204" s="1"/>
      <c r="E204" s="1"/>
      <c r="F204" s="1"/>
      <c r="G204" s="1"/>
      <c r="H204" s="1"/>
      <c r="I204" s="11"/>
    </row>
    <row r="205" spans="1:9">
      <c r="A205" s="2"/>
      <c r="B205" s="1"/>
      <c r="C205" s="1"/>
      <c r="D205" s="1"/>
      <c r="E205" s="1"/>
      <c r="F205" s="1"/>
      <c r="G205" s="1"/>
      <c r="H205" s="1"/>
      <c r="I205" s="11"/>
    </row>
    <row r="206" spans="1:9">
      <c r="A206" s="2"/>
      <c r="B206" s="1"/>
      <c r="C206" s="1"/>
      <c r="D206" s="1"/>
      <c r="E206" s="1"/>
      <c r="F206" s="1"/>
      <c r="G206" s="1"/>
      <c r="H206" s="1"/>
      <c r="I206" s="11"/>
    </row>
    <row r="207" spans="1:9">
      <c r="A207" s="2"/>
      <c r="B207" s="1"/>
      <c r="C207" s="1"/>
      <c r="D207" s="1"/>
      <c r="E207" s="1"/>
      <c r="F207" s="1"/>
      <c r="G207" s="1"/>
      <c r="H207" s="1"/>
      <c r="I207" s="11"/>
    </row>
    <row r="208" spans="1:9">
      <c r="A208" s="2"/>
      <c r="B208" s="1"/>
      <c r="C208" s="1"/>
      <c r="D208" s="1"/>
      <c r="E208" s="1"/>
      <c r="F208" s="1"/>
      <c r="G208" s="1"/>
      <c r="H208" s="1"/>
      <c r="I208" s="11"/>
    </row>
    <row r="209" spans="1:9">
      <c r="A209" s="2"/>
      <c r="B209" s="1"/>
      <c r="C209" s="1"/>
      <c r="D209" s="1"/>
      <c r="E209" s="1"/>
      <c r="F209" s="1"/>
      <c r="G209" s="1"/>
      <c r="H209" s="1"/>
      <c r="I209" s="11"/>
    </row>
    <row r="210" spans="1:9">
      <c r="A210" s="2"/>
      <c r="B210" s="1"/>
      <c r="C210" s="1"/>
      <c r="D210" s="1"/>
      <c r="E210" s="1"/>
      <c r="F210" s="1"/>
      <c r="G210" s="1"/>
      <c r="H210" s="1"/>
      <c r="I210" s="11"/>
    </row>
    <row r="211" spans="1:9">
      <c r="A211" s="2"/>
      <c r="B211" s="1"/>
      <c r="C211" s="1"/>
      <c r="D211" s="1"/>
      <c r="E211" s="1"/>
      <c r="F211" s="1"/>
      <c r="G211" s="1"/>
      <c r="H211" s="1"/>
      <c r="I211" s="11"/>
    </row>
    <row r="212" spans="1:9">
      <c r="A212" s="2"/>
      <c r="B212" s="1"/>
      <c r="C212" s="1"/>
      <c r="D212" s="1"/>
      <c r="E212" s="1"/>
      <c r="F212" s="1"/>
      <c r="G212" s="1"/>
      <c r="H212" s="1"/>
      <c r="I212" s="11"/>
    </row>
    <row r="213" spans="1:9">
      <c r="A213" s="2"/>
      <c r="B213" s="1"/>
      <c r="C213" s="1"/>
      <c r="D213" s="1"/>
      <c r="E213" s="1"/>
      <c r="F213" s="1"/>
      <c r="G213" s="1"/>
      <c r="H213" s="1"/>
      <c r="I213" s="11"/>
    </row>
    <row r="214" spans="1:9">
      <c r="A214" s="2"/>
      <c r="B214" s="1"/>
      <c r="C214" s="1"/>
      <c r="D214" s="1"/>
      <c r="E214" s="1"/>
      <c r="F214" s="1"/>
      <c r="G214" s="1"/>
      <c r="H214" s="1"/>
      <c r="I214" s="11"/>
    </row>
    <row r="215" spans="1:9">
      <c r="A215" s="2"/>
      <c r="B215" s="1"/>
      <c r="C215" s="1"/>
      <c r="D215" s="1"/>
      <c r="E215" s="1"/>
      <c r="F215" s="1"/>
      <c r="G215" s="1"/>
      <c r="H215" s="1"/>
      <c r="I215" s="11"/>
    </row>
    <row r="216" spans="1:9">
      <c r="A216" s="2"/>
      <c r="B216" s="1"/>
      <c r="C216" s="1"/>
      <c r="D216" s="1"/>
      <c r="E216" s="1"/>
      <c r="F216" s="1"/>
      <c r="G216" s="1"/>
      <c r="H216" s="1"/>
      <c r="I216" s="11"/>
    </row>
    <row r="217" spans="1:9">
      <c r="A217" s="2"/>
      <c r="B217" s="1"/>
      <c r="C217" s="1"/>
      <c r="D217" s="1"/>
      <c r="E217" s="1"/>
      <c r="F217" s="1"/>
      <c r="G217" s="1"/>
      <c r="H217" s="1"/>
      <c r="I217" s="11"/>
    </row>
    <row r="218" spans="1:9">
      <c r="A218" s="2"/>
      <c r="B218" s="1"/>
      <c r="C218" s="1"/>
      <c r="D218" s="1"/>
      <c r="E218" s="1"/>
      <c r="F218" s="1"/>
      <c r="G218" s="1"/>
      <c r="H218" s="1"/>
      <c r="I218" s="11"/>
    </row>
    <row r="219" spans="1:9">
      <c r="A219" s="2"/>
      <c r="B219" s="1"/>
      <c r="C219" s="1"/>
      <c r="D219" s="1"/>
      <c r="E219" s="1"/>
      <c r="F219" s="1"/>
      <c r="G219" s="1"/>
      <c r="H219" s="1"/>
      <c r="I219" s="11"/>
    </row>
    <row r="220" spans="1:9">
      <c r="A220" s="2"/>
      <c r="B220" s="1"/>
      <c r="C220" s="1"/>
      <c r="D220" s="1"/>
      <c r="E220" s="1"/>
      <c r="F220" s="1"/>
      <c r="G220" s="1"/>
      <c r="H220" s="1"/>
      <c r="I220" s="11"/>
    </row>
    <row r="221" spans="1:9">
      <c r="A221" s="2"/>
      <c r="B221" s="1"/>
      <c r="C221" s="1"/>
      <c r="D221" s="1"/>
      <c r="E221" s="1"/>
      <c r="F221" s="1"/>
      <c r="G221" s="1"/>
      <c r="H221" s="1"/>
      <c r="I221" s="11"/>
    </row>
    <row r="222" spans="1:9">
      <c r="A222" s="2"/>
      <c r="B222" s="1"/>
      <c r="C222" s="1"/>
      <c r="D222" s="1"/>
      <c r="E222" s="1"/>
      <c r="F222" s="1"/>
      <c r="G222" s="1"/>
      <c r="H222" s="1"/>
      <c r="I222" s="11"/>
    </row>
    <row r="223" spans="1:9">
      <c r="A223" s="2"/>
      <c r="B223" s="1"/>
      <c r="C223" s="1"/>
      <c r="D223" s="1"/>
      <c r="E223" s="1"/>
      <c r="F223" s="1"/>
      <c r="G223" s="1"/>
      <c r="H223" s="1"/>
      <c r="I223" s="11"/>
    </row>
    <row r="224" spans="1:9">
      <c r="A224" s="2"/>
      <c r="B224" s="1"/>
      <c r="C224" s="1"/>
      <c r="D224" s="1"/>
      <c r="E224" s="1"/>
      <c r="F224" s="1"/>
      <c r="G224" s="1"/>
      <c r="H224" s="1"/>
      <c r="I224" s="11"/>
    </row>
    <row r="225" spans="1:9">
      <c r="A225" s="2"/>
      <c r="B225" s="1"/>
      <c r="C225" s="1"/>
      <c r="D225" s="1"/>
      <c r="E225" s="1"/>
      <c r="F225" s="1"/>
      <c r="G225" s="1"/>
      <c r="H225" s="1"/>
      <c r="I225" s="11"/>
    </row>
    <row r="226" spans="1:9">
      <c r="A226" s="2"/>
      <c r="B226" s="1"/>
      <c r="C226" s="1"/>
      <c r="D226" s="1"/>
      <c r="E226" s="1"/>
      <c r="F226" s="1"/>
      <c r="G226" s="1"/>
      <c r="H226" s="1"/>
      <c r="I226" s="11"/>
    </row>
    <row r="227" spans="1:9">
      <c r="A227" s="2"/>
      <c r="B227" s="1"/>
      <c r="C227" s="1"/>
      <c r="D227" s="1"/>
      <c r="E227" s="1"/>
      <c r="F227" s="1"/>
      <c r="G227" s="1"/>
      <c r="H227" s="1"/>
      <c r="I227" s="11"/>
    </row>
    <row r="228" spans="1:9">
      <c r="A228" s="2"/>
      <c r="B228" s="1"/>
      <c r="C228" s="1"/>
      <c r="D228" s="1"/>
      <c r="E228" s="1"/>
      <c r="F228" s="1"/>
      <c r="G228" s="1"/>
      <c r="H228" s="1"/>
      <c r="I228" s="11"/>
    </row>
    <row r="229" spans="1:9">
      <c r="A229" s="2"/>
      <c r="B229" s="1"/>
      <c r="C229" s="1"/>
      <c r="D229" s="1"/>
      <c r="E229" s="1"/>
      <c r="F229" s="1"/>
      <c r="G229" s="1"/>
      <c r="H229" s="1"/>
      <c r="I229" s="11"/>
    </row>
    <row r="230" spans="1:9">
      <c r="A230" s="2"/>
      <c r="B230" s="1"/>
      <c r="C230" s="1"/>
      <c r="D230" s="1"/>
      <c r="E230" s="1"/>
      <c r="F230" s="1"/>
      <c r="G230" s="1"/>
      <c r="H230" s="1"/>
      <c r="I230" s="11"/>
    </row>
    <row r="231" spans="1:9">
      <c r="A231" s="2"/>
      <c r="B231" s="1"/>
      <c r="C231" s="1"/>
      <c r="D231" s="1"/>
      <c r="E231" s="1"/>
      <c r="F231" s="1"/>
      <c r="G231" s="1"/>
      <c r="H231" s="1"/>
      <c r="I231" s="11"/>
    </row>
    <row r="232" spans="1:9">
      <c r="A232" s="2"/>
      <c r="B232" s="1"/>
      <c r="C232" s="1"/>
      <c r="D232" s="1"/>
      <c r="E232" s="1"/>
      <c r="F232" s="1"/>
      <c r="G232" s="1"/>
      <c r="H232" s="1"/>
      <c r="I232" s="11"/>
    </row>
    <row r="233" spans="1:9">
      <c r="A233" s="2"/>
      <c r="B233" s="1"/>
      <c r="C233" s="1"/>
      <c r="D233" s="1"/>
      <c r="E233" s="1"/>
      <c r="F233" s="1"/>
      <c r="G233" s="1"/>
      <c r="H233" s="1"/>
      <c r="I233" s="11"/>
    </row>
    <row r="234" spans="1:9">
      <c r="A234" s="2"/>
      <c r="B234" s="1"/>
      <c r="C234" s="1"/>
      <c r="D234" s="1"/>
      <c r="E234" s="1"/>
      <c r="F234" s="1"/>
      <c r="G234" s="1"/>
      <c r="H234" s="1"/>
      <c r="I234" s="11"/>
    </row>
    <row r="235" spans="1:9">
      <c r="A235" s="2"/>
      <c r="B235" s="1"/>
      <c r="C235" s="1"/>
      <c r="D235" s="1"/>
      <c r="E235" s="1"/>
      <c r="F235" s="1"/>
      <c r="G235" s="1"/>
      <c r="H235" s="1"/>
      <c r="I235" s="11"/>
    </row>
    <row r="236" spans="1:9">
      <c r="A236" s="2"/>
      <c r="B236" s="1"/>
      <c r="C236" s="1"/>
      <c r="D236" s="1"/>
      <c r="E236" s="1"/>
      <c r="F236" s="1"/>
      <c r="G236" s="1"/>
      <c r="H236" s="1"/>
      <c r="I236" s="11"/>
    </row>
    <row r="237" spans="1:9">
      <c r="A237" s="2"/>
      <c r="B237" s="1"/>
      <c r="C237" s="1"/>
      <c r="D237" s="1"/>
      <c r="E237" s="1"/>
      <c r="F237" s="1"/>
      <c r="G237" s="1"/>
      <c r="H237" s="1"/>
      <c r="I237" s="11"/>
    </row>
    <row r="238" spans="1:9">
      <c r="A238" s="2"/>
      <c r="B238" s="1"/>
      <c r="C238" s="1"/>
      <c r="D238" s="1"/>
      <c r="E238" s="1"/>
      <c r="F238" s="1"/>
      <c r="G238" s="1"/>
      <c r="H238" s="1"/>
      <c r="I238" s="11"/>
    </row>
    <row r="239" spans="1:9">
      <c r="A239" s="2"/>
      <c r="B239" s="1"/>
      <c r="C239" s="1"/>
      <c r="D239" s="1"/>
      <c r="E239" s="1"/>
      <c r="F239" s="1"/>
      <c r="G239" s="1"/>
      <c r="H239" s="1"/>
      <c r="I239" s="11"/>
    </row>
    <row r="240" spans="1:9">
      <c r="A240" s="2"/>
      <c r="B240" s="1"/>
      <c r="C240" s="1"/>
      <c r="D240" s="1"/>
      <c r="E240" s="1"/>
      <c r="F240" s="1"/>
      <c r="G240" s="1"/>
      <c r="H240" s="1"/>
      <c r="I240" s="11"/>
    </row>
    <row r="241" spans="1:9">
      <c r="A241" s="2"/>
      <c r="B241" s="1"/>
      <c r="C241" s="1"/>
      <c r="D241" s="1"/>
      <c r="E241" s="1"/>
      <c r="F241" s="1"/>
      <c r="G241" s="1"/>
      <c r="H241" s="1"/>
      <c r="I241" s="11"/>
    </row>
    <row r="242" spans="1:9">
      <c r="A242" s="2"/>
      <c r="B242" s="1"/>
      <c r="C242" s="1"/>
      <c r="D242" s="1"/>
      <c r="E242" s="1"/>
      <c r="F242" s="1"/>
      <c r="G242" s="1"/>
      <c r="H242" s="1"/>
      <c r="I242" s="11"/>
    </row>
    <row r="243" spans="1:9">
      <c r="A243" s="2"/>
      <c r="B243" s="1"/>
      <c r="C243" s="1"/>
      <c r="D243" s="1"/>
      <c r="E243" s="1"/>
      <c r="F243" s="1"/>
      <c r="G243" s="1"/>
      <c r="H243" s="1"/>
      <c r="I243" s="11"/>
    </row>
    <row r="244" spans="1:9">
      <c r="A244" s="2"/>
      <c r="B244" s="1"/>
      <c r="C244" s="1"/>
      <c r="D244" s="1"/>
      <c r="E244" s="1"/>
      <c r="F244" s="1"/>
      <c r="G244" s="1"/>
      <c r="H244" s="1"/>
      <c r="I244" s="11"/>
    </row>
    <row r="245" spans="1:9">
      <c r="A245" s="2"/>
      <c r="B245" s="1"/>
      <c r="C245" s="1"/>
      <c r="D245" s="1"/>
      <c r="E245" s="1"/>
      <c r="F245" s="1"/>
      <c r="G245" s="1"/>
      <c r="H245" s="1"/>
      <c r="I245" s="11"/>
    </row>
    <row r="246" spans="1:9">
      <c r="A246" s="2"/>
      <c r="B246" s="1"/>
      <c r="C246" s="1"/>
      <c r="D246" s="1"/>
      <c r="E246" s="1"/>
      <c r="F246" s="1"/>
      <c r="G246" s="1"/>
      <c r="H246" s="1"/>
      <c r="I246" s="11"/>
    </row>
    <row r="247" spans="1:9">
      <c r="A247" s="2"/>
      <c r="B247" s="1"/>
      <c r="C247" s="1"/>
      <c r="D247" s="1"/>
      <c r="E247" s="1"/>
      <c r="F247" s="1"/>
      <c r="G247" s="1"/>
      <c r="H247" s="1"/>
      <c r="I247" s="11"/>
    </row>
    <row r="248" spans="1:9">
      <c r="A248" s="2"/>
      <c r="B248" s="1"/>
      <c r="C248" s="1"/>
      <c r="D248" s="1"/>
      <c r="E248" s="1"/>
      <c r="F248" s="1"/>
      <c r="G248" s="1"/>
      <c r="H248" s="1"/>
      <c r="I248" s="11"/>
    </row>
    <row r="249" spans="1:9">
      <c r="A249" s="2"/>
      <c r="B249" s="1"/>
      <c r="C249" s="1"/>
      <c r="D249" s="1"/>
      <c r="E249" s="1"/>
      <c r="F249" s="1"/>
      <c r="G249" s="1"/>
      <c r="H249" s="1"/>
      <c r="I249" s="11"/>
    </row>
    <row r="250" spans="1:9">
      <c r="A250" s="2"/>
      <c r="B250" s="1"/>
      <c r="C250" s="1"/>
      <c r="D250" s="1"/>
      <c r="E250" s="1"/>
      <c r="F250" s="1"/>
      <c r="G250" s="1"/>
      <c r="H250" s="1"/>
      <c r="I250" s="11"/>
    </row>
    <row r="251" spans="1:9">
      <c r="A251" s="2"/>
      <c r="B251" s="1"/>
      <c r="C251" s="1"/>
      <c r="D251" s="1"/>
      <c r="E251" s="1"/>
      <c r="F251" s="1"/>
      <c r="G251" s="1"/>
      <c r="H251" s="1"/>
      <c r="I251" s="11"/>
    </row>
    <row r="252" spans="1:9">
      <c r="A252" s="2"/>
      <c r="B252" s="1"/>
      <c r="C252" s="1"/>
      <c r="D252" s="1"/>
      <c r="E252" s="1"/>
      <c r="F252" s="1"/>
      <c r="G252" s="1"/>
      <c r="H252" s="1"/>
      <c r="I252" s="11"/>
    </row>
    <row r="253" spans="1:9">
      <c r="A253" s="2"/>
      <c r="B253" s="1"/>
      <c r="C253" s="1"/>
      <c r="D253" s="1"/>
      <c r="E253" s="1"/>
      <c r="F253" s="1"/>
      <c r="G253" s="1"/>
      <c r="H253" s="1"/>
      <c r="I253" s="11"/>
    </row>
    <row r="254" spans="1:9">
      <c r="A254" s="2"/>
      <c r="B254" s="1"/>
      <c r="C254" s="1"/>
      <c r="D254" s="1"/>
      <c r="E254" s="1"/>
      <c r="F254" s="1"/>
      <c r="G254" s="1"/>
      <c r="H254" s="1"/>
      <c r="I254" s="11"/>
    </row>
    <row r="255" spans="1:9">
      <c r="A255" s="2"/>
      <c r="B255" s="1"/>
      <c r="C255" s="1"/>
      <c r="D255" s="1"/>
      <c r="E255" s="1"/>
      <c r="F255" s="1"/>
      <c r="G255" s="1"/>
      <c r="H255" s="1"/>
      <c r="I255" s="11"/>
    </row>
    <row r="256" spans="1:9">
      <c r="A256" s="2"/>
      <c r="B256" s="1"/>
      <c r="C256" s="1"/>
      <c r="D256" s="1"/>
      <c r="E256" s="1"/>
      <c r="F256" s="1"/>
      <c r="G256" s="1"/>
      <c r="H256" s="1"/>
      <c r="I256" s="11"/>
    </row>
    <row r="257" spans="1:9">
      <c r="A257" s="2"/>
      <c r="B257" s="1"/>
      <c r="C257" s="1"/>
      <c r="D257" s="1"/>
      <c r="E257" s="1"/>
      <c r="F257" s="1"/>
      <c r="G257" s="1"/>
      <c r="H257" s="1"/>
      <c r="I257" s="11"/>
    </row>
    <row r="258" spans="1:9">
      <c r="A258" s="2"/>
      <c r="B258" s="1"/>
      <c r="C258" s="1"/>
      <c r="D258" s="1"/>
      <c r="E258" s="1"/>
      <c r="F258" s="1"/>
      <c r="G258" s="1"/>
      <c r="H258" s="1"/>
      <c r="I258" s="11"/>
    </row>
    <row r="259" spans="1:9">
      <c r="A259" s="2"/>
      <c r="B259" s="1"/>
      <c r="C259" s="1"/>
      <c r="D259" s="1"/>
      <c r="E259" s="1"/>
      <c r="F259" s="1"/>
      <c r="G259" s="1"/>
      <c r="H259" s="1"/>
      <c r="I259" s="11"/>
    </row>
    <row r="260" spans="1:9">
      <c r="A260" s="2"/>
      <c r="B260" s="1"/>
      <c r="C260" s="1"/>
      <c r="D260" s="1"/>
      <c r="E260" s="1"/>
      <c r="F260" s="1"/>
      <c r="G260" s="1"/>
      <c r="H260" s="1"/>
      <c r="I260" s="11"/>
    </row>
    <row r="261" spans="1:9">
      <c r="A261" s="2"/>
      <c r="B261" s="1"/>
      <c r="C261" s="1"/>
      <c r="D261" s="1"/>
      <c r="E261" s="1"/>
      <c r="F261" s="1"/>
      <c r="G261" s="1"/>
      <c r="H261" s="1"/>
      <c r="I261" s="11"/>
    </row>
    <row r="262" spans="1:9">
      <c r="A262" s="2"/>
      <c r="B262" s="1"/>
      <c r="C262" s="1"/>
      <c r="D262" s="1"/>
      <c r="E262" s="1"/>
      <c r="F262" s="1"/>
      <c r="G262" s="1"/>
      <c r="H262" s="1"/>
      <c r="I262" s="11"/>
    </row>
    <row r="263" spans="1:9">
      <c r="A263" s="2"/>
      <c r="B263" s="1"/>
      <c r="C263" s="1"/>
      <c r="D263" s="1"/>
      <c r="E263" s="1"/>
      <c r="F263" s="1"/>
      <c r="G263" s="1"/>
      <c r="H263" s="1"/>
      <c r="I263" s="11"/>
    </row>
    <row r="264" spans="1:9">
      <c r="A264" s="2"/>
      <c r="B264" s="1"/>
      <c r="C264" s="1"/>
      <c r="D264" s="1"/>
      <c r="E264" s="1"/>
      <c r="F264" s="1"/>
      <c r="G264" s="1"/>
      <c r="H264" s="1"/>
      <c r="I264" s="11"/>
    </row>
    <row r="265" spans="1:9">
      <c r="A265" s="2"/>
      <c r="B265" s="1"/>
      <c r="C265" s="1"/>
      <c r="D265" s="1"/>
      <c r="E265" s="1"/>
      <c r="F265" s="1"/>
      <c r="G265" s="1"/>
      <c r="H265" s="1"/>
      <c r="I265" s="11"/>
    </row>
    <row r="266" spans="1:9">
      <c r="A266" s="2"/>
      <c r="B266" s="1"/>
      <c r="C266" s="1"/>
      <c r="D266" s="1"/>
      <c r="E266" s="1"/>
      <c r="F266" s="1"/>
      <c r="G266" s="1"/>
      <c r="H266" s="1"/>
      <c r="I266" s="11"/>
    </row>
    <row r="267" spans="1:9">
      <c r="A267" s="2"/>
      <c r="B267" s="1"/>
      <c r="C267" s="1"/>
      <c r="D267" s="1"/>
      <c r="E267" s="1"/>
      <c r="F267" s="1"/>
      <c r="G267" s="1"/>
      <c r="H267" s="1"/>
      <c r="I267" s="11"/>
    </row>
    <row r="268" spans="1:9">
      <c r="A268" s="2"/>
      <c r="B268" s="1"/>
      <c r="C268" s="1"/>
      <c r="D268" s="1"/>
      <c r="E268" s="1"/>
      <c r="F268" s="1"/>
      <c r="G268" s="1"/>
      <c r="H268" s="1"/>
      <c r="I268" s="11"/>
    </row>
    <row r="269" spans="1:9">
      <c r="A269" s="2"/>
      <c r="B269" s="1"/>
      <c r="C269" s="1"/>
      <c r="D269" s="1"/>
      <c r="E269" s="1"/>
      <c r="F269" s="1"/>
      <c r="G269" s="1"/>
      <c r="H269" s="1"/>
      <c r="I269" s="11"/>
    </row>
    <row r="270" spans="1:9">
      <c r="A270" s="2"/>
      <c r="B270" s="1"/>
      <c r="C270" s="1"/>
      <c r="D270" s="1"/>
      <c r="E270" s="1"/>
      <c r="F270" s="1"/>
      <c r="G270" s="1"/>
      <c r="H270" s="1"/>
      <c r="I270" s="11"/>
    </row>
    <row r="271" spans="1:9">
      <c r="A271" s="2"/>
      <c r="B271" s="1"/>
      <c r="C271" s="1"/>
      <c r="D271" s="1"/>
      <c r="E271" s="1"/>
      <c r="F271" s="1"/>
      <c r="G271" s="1"/>
      <c r="H271" s="1"/>
      <c r="I271" s="11"/>
    </row>
    <row r="272" spans="1:9">
      <c r="A272" s="2"/>
      <c r="B272" s="1"/>
      <c r="C272" s="1"/>
      <c r="D272" s="1"/>
      <c r="E272" s="1"/>
      <c r="F272" s="1"/>
      <c r="G272" s="1"/>
      <c r="H272" s="1"/>
      <c r="I272" s="11"/>
    </row>
    <row r="273" spans="1:9">
      <c r="A273" s="2"/>
      <c r="B273" s="1"/>
      <c r="C273" s="1"/>
      <c r="D273" s="1"/>
      <c r="E273" s="1"/>
      <c r="F273" s="1"/>
      <c r="G273" s="1"/>
      <c r="H273" s="1"/>
      <c r="I273" s="11"/>
    </row>
    <row r="274" spans="1:9">
      <c r="A274" s="2"/>
      <c r="B274" s="1"/>
      <c r="C274" s="1"/>
      <c r="D274" s="1"/>
      <c r="E274" s="1"/>
      <c r="F274" s="1"/>
      <c r="G274" s="1"/>
      <c r="H274" s="1"/>
      <c r="I274" s="11"/>
    </row>
    <row r="275" spans="1:9">
      <c r="A275" s="2"/>
      <c r="B275" s="1"/>
      <c r="C275" s="1"/>
      <c r="D275" s="1"/>
      <c r="E275" s="1"/>
      <c r="F275" s="1"/>
      <c r="G275" s="1"/>
      <c r="H275" s="1"/>
      <c r="I275" s="11"/>
    </row>
    <row r="276" spans="1:9">
      <c r="A276" s="2"/>
      <c r="B276" s="1"/>
      <c r="C276" s="1"/>
      <c r="D276" s="1"/>
      <c r="E276" s="1"/>
      <c r="F276" s="1"/>
      <c r="G276" s="1"/>
      <c r="H276" s="1"/>
      <c r="I276" s="11"/>
    </row>
    <row r="277" spans="1:9">
      <c r="A277" s="2"/>
      <c r="B277" s="1"/>
      <c r="C277" s="1"/>
      <c r="D277" s="1"/>
      <c r="E277" s="1"/>
      <c r="F277" s="1"/>
      <c r="G277" s="1"/>
      <c r="H277" s="1"/>
      <c r="I277" s="11"/>
    </row>
    <row r="278" spans="1:9">
      <c r="A278" s="2"/>
      <c r="B278" s="1"/>
      <c r="C278" s="1"/>
      <c r="D278" s="1"/>
      <c r="E278" s="1"/>
      <c r="F278" s="1"/>
      <c r="G278" s="1"/>
      <c r="H278" s="1"/>
      <c r="I278" s="11"/>
    </row>
    <row r="279" spans="1:9">
      <c r="A279" s="2"/>
      <c r="B279" s="1"/>
      <c r="C279" s="1"/>
      <c r="D279" s="1"/>
      <c r="E279" s="1"/>
      <c r="F279" s="1"/>
      <c r="G279" s="1"/>
      <c r="H279" s="1"/>
      <c r="I279" s="11"/>
    </row>
    <row r="280" spans="1:9">
      <c r="A280" s="2"/>
      <c r="B280" s="1"/>
      <c r="C280" s="1"/>
      <c r="D280" s="1"/>
      <c r="E280" s="1"/>
      <c r="F280" s="1"/>
      <c r="G280" s="1"/>
      <c r="H280" s="1"/>
      <c r="I280" s="11"/>
    </row>
    <row r="281" spans="1:9">
      <c r="A281" s="2"/>
      <c r="B281" s="1"/>
      <c r="C281" s="1"/>
      <c r="D281" s="1"/>
      <c r="E281" s="1"/>
      <c r="F281" s="1"/>
      <c r="G281" s="1"/>
      <c r="H281" s="1"/>
      <c r="I281" s="11"/>
    </row>
    <row r="282" spans="1:9">
      <c r="A282" s="2"/>
      <c r="B282" s="1"/>
      <c r="C282" s="1"/>
      <c r="D282" s="1"/>
      <c r="E282" s="1"/>
      <c r="F282" s="1"/>
      <c r="G282" s="1"/>
      <c r="H282" s="1"/>
      <c r="I282" s="11"/>
    </row>
    <row r="283" spans="1:9">
      <c r="A283" s="2"/>
      <c r="B283" s="1"/>
      <c r="C283" s="1"/>
      <c r="D283" s="1"/>
      <c r="E283" s="1"/>
      <c r="F283" s="1"/>
      <c r="G283" s="1"/>
      <c r="H283" s="1"/>
      <c r="I283" s="11"/>
    </row>
    <row r="284" spans="1:9">
      <c r="A284" s="2"/>
      <c r="B284" s="1"/>
      <c r="C284" s="1"/>
      <c r="D284" s="1"/>
      <c r="E284" s="1"/>
      <c r="F284" s="1"/>
      <c r="G284" s="1"/>
      <c r="H284" s="1"/>
      <c r="I284" s="11"/>
    </row>
    <row r="285" spans="1:9">
      <c r="A285" s="2"/>
      <c r="B285" s="1"/>
      <c r="C285" s="1"/>
      <c r="D285" s="1"/>
      <c r="E285" s="1"/>
      <c r="F285" s="1"/>
      <c r="G285" s="1"/>
      <c r="H285" s="1"/>
      <c r="I285" s="11"/>
    </row>
    <row r="286" spans="1:9">
      <c r="A286" s="2"/>
      <c r="B286" s="1"/>
      <c r="C286" s="1"/>
      <c r="D286" s="1"/>
      <c r="E286" s="1"/>
      <c r="F286" s="1"/>
      <c r="G286" s="1"/>
      <c r="H286" s="1"/>
      <c r="I286" s="11"/>
    </row>
    <row r="287" spans="1:9">
      <c r="A287" s="2"/>
      <c r="B287" s="1"/>
      <c r="C287" s="1"/>
      <c r="D287" s="1"/>
      <c r="E287" s="1"/>
      <c r="F287" s="1"/>
      <c r="G287" s="1"/>
      <c r="H287" s="1"/>
      <c r="I287" s="11"/>
    </row>
    <row r="288" spans="1:9">
      <c r="A288" s="2"/>
      <c r="B288" s="1"/>
      <c r="C288" s="1"/>
      <c r="D288" s="1"/>
      <c r="E288" s="1"/>
      <c r="F288" s="1"/>
      <c r="G288" s="1"/>
      <c r="H288" s="1"/>
      <c r="I288" s="11"/>
    </row>
    <row r="289" spans="1:9">
      <c r="A289" s="2"/>
      <c r="B289" s="1"/>
      <c r="C289" s="1"/>
      <c r="D289" s="1"/>
      <c r="E289" s="1"/>
      <c r="F289" s="1"/>
      <c r="G289" s="1"/>
      <c r="H289" s="1"/>
      <c r="I289" s="11"/>
    </row>
    <row r="290" spans="1:9">
      <c r="A290" s="2"/>
      <c r="B290" s="1"/>
      <c r="C290" s="1"/>
      <c r="D290" s="1"/>
      <c r="E290" s="1"/>
      <c r="F290" s="1"/>
      <c r="G290" s="1"/>
      <c r="H290" s="1"/>
      <c r="I290" s="11"/>
    </row>
    <row r="291" spans="1:9">
      <c r="A291" s="2"/>
      <c r="B291" s="1"/>
      <c r="C291" s="1"/>
      <c r="D291" s="1"/>
      <c r="E291" s="1"/>
      <c r="F291" s="1"/>
      <c r="G291" s="1"/>
      <c r="H291" s="1"/>
      <c r="I291" s="11"/>
    </row>
    <row r="292" spans="1:9">
      <c r="A292" s="2"/>
      <c r="B292" s="1"/>
      <c r="C292" s="1"/>
      <c r="D292" s="1"/>
      <c r="E292" s="1"/>
      <c r="F292" s="1"/>
      <c r="G292" s="1"/>
      <c r="H292" s="1"/>
      <c r="I292" s="11"/>
    </row>
    <row r="293" spans="1:9">
      <c r="A293" s="2"/>
      <c r="B293" s="1"/>
      <c r="C293" s="1"/>
      <c r="D293" s="1"/>
      <c r="E293" s="1"/>
      <c r="F293" s="1"/>
      <c r="G293" s="1"/>
      <c r="H293" s="1"/>
      <c r="I293" s="11"/>
    </row>
    <row r="294" spans="1:9">
      <c r="A294" s="2"/>
      <c r="B294" s="1"/>
      <c r="C294" s="1"/>
      <c r="D294" s="1"/>
      <c r="E294" s="1"/>
      <c r="F294" s="1"/>
      <c r="G294" s="1"/>
      <c r="H294" s="1"/>
      <c r="I294" s="11"/>
    </row>
    <row r="295" spans="1:9">
      <c r="A295" s="2"/>
      <c r="B295" s="1"/>
      <c r="C295" s="1"/>
      <c r="D295" s="1"/>
      <c r="E295" s="1"/>
      <c r="F295" s="1"/>
      <c r="G295" s="1"/>
      <c r="H295" s="1"/>
      <c r="I295" s="11"/>
    </row>
    <row r="296" spans="1:9">
      <c r="A296" s="2"/>
      <c r="B296" s="1"/>
      <c r="C296" s="1"/>
      <c r="D296" s="1"/>
      <c r="E296" s="1"/>
      <c r="F296" s="1"/>
      <c r="G296" s="1"/>
      <c r="H296" s="1"/>
      <c r="I296" s="11"/>
    </row>
    <row r="297" spans="1:9">
      <c r="A297" s="2"/>
      <c r="B297" s="1"/>
      <c r="C297" s="1"/>
      <c r="D297" s="1"/>
      <c r="E297" s="1"/>
      <c r="F297" s="1"/>
      <c r="G297" s="1"/>
      <c r="H297" s="1"/>
      <c r="I297" s="11"/>
    </row>
    <row r="298" spans="1:9">
      <c r="A298" s="2"/>
      <c r="B298" s="1"/>
      <c r="C298" s="1"/>
      <c r="D298" s="1"/>
      <c r="E298" s="1"/>
      <c r="F298" s="1"/>
      <c r="G298" s="1"/>
      <c r="H298" s="1"/>
      <c r="I298" s="11"/>
    </row>
    <row r="299" spans="1:9">
      <c r="A299" s="2"/>
      <c r="B299" s="1"/>
      <c r="C299" s="1"/>
      <c r="D299" s="1"/>
      <c r="E299" s="1"/>
      <c r="F299" s="1"/>
      <c r="G299" s="1"/>
      <c r="H299" s="1"/>
      <c r="I299" s="11"/>
    </row>
    <row r="300" spans="1:9">
      <c r="A300" s="2"/>
      <c r="B300" s="1"/>
      <c r="C300" s="1"/>
      <c r="D300" s="1"/>
      <c r="E300" s="1"/>
      <c r="F300" s="1"/>
      <c r="G300" s="1"/>
      <c r="H300" s="1"/>
      <c r="I300" s="11"/>
    </row>
    <row r="301" spans="1:9">
      <c r="A301" s="2"/>
      <c r="B301" s="1"/>
      <c r="C301" s="1"/>
      <c r="D301" s="1"/>
      <c r="E301" s="1"/>
      <c r="F301" s="1"/>
      <c r="G301" s="1"/>
      <c r="H301" s="1"/>
      <c r="I301" s="11"/>
    </row>
    <row r="302" spans="1:9">
      <c r="A302" s="2"/>
      <c r="B302" s="1"/>
      <c r="C302" s="1"/>
      <c r="D302" s="1"/>
      <c r="E302" s="1"/>
      <c r="F302" s="1"/>
      <c r="G302" s="1"/>
      <c r="H302" s="1"/>
      <c r="I302" s="11"/>
    </row>
    <row r="303" spans="1:9">
      <c r="A303" s="2"/>
      <c r="B303" s="1"/>
      <c r="C303" s="1"/>
      <c r="D303" s="1"/>
      <c r="E303" s="1"/>
      <c r="F303" s="1"/>
      <c r="G303" s="1"/>
      <c r="H303" s="1"/>
      <c r="I303" s="11"/>
    </row>
    <row r="304" spans="1:9">
      <c r="A304" s="2"/>
      <c r="B304" s="1"/>
      <c r="C304" s="1"/>
      <c r="D304" s="1"/>
      <c r="E304" s="1"/>
      <c r="F304" s="1"/>
      <c r="G304" s="1"/>
      <c r="H304" s="1"/>
      <c r="I304" s="11"/>
    </row>
    <row r="305" spans="1:9">
      <c r="A305" s="2"/>
      <c r="B305" s="1"/>
      <c r="C305" s="1"/>
      <c r="D305" s="1"/>
      <c r="E305" s="1"/>
      <c r="F305" s="1"/>
      <c r="G305" s="1"/>
      <c r="H305" s="1"/>
      <c r="I305" s="11"/>
    </row>
    <row r="306" spans="1:9">
      <c r="A306" s="2"/>
      <c r="B306" s="1"/>
      <c r="C306" s="1"/>
      <c r="D306" s="1"/>
      <c r="E306" s="1"/>
      <c r="F306" s="1"/>
      <c r="G306" s="1"/>
      <c r="H306" s="1"/>
      <c r="I306" s="11"/>
    </row>
    <row r="307" spans="1:9">
      <c r="A307" s="2"/>
      <c r="B307" s="1"/>
      <c r="C307" s="1"/>
      <c r="D307" s="1"/>
      <c r="E307" s="1"/>
      <c r="F307" s="1"/>
      <c r="G307" s="1"/>
      <c r="H307" s="1"/>
      <c r="I307" s="11"/>
    </row>
    <row r="308" spans="1:9">
      <c r="A308" s="2"/>
      <c r="B308" s="1"/>
      <c r="C308" s="1"/>
      <c r="D308" s="1"/>
      <c r="E308" s="1"/>
      <c r="F308" s="1"/>
      <c r="G308" s="1"/>
      <c r="H308" s="1"/>
      <c r="I308" s="11"/>
    </row>
    <row r="309" spans="1:9">
      <c r="A309" s="2"/>
      <c r="B309" s="1"/>
      <c r="C309" s="1"/>
      <c r="D309" s="1"/>
      <c r="E309" s="1"/>
      <c r="F309" s="1"/>
      <c r="G309" s="1"/>
      <c r="H309" s="1"/>
      <c r="I309" s="11"/>
    </row>
    <row r="310" spans="1:9">
      <c r="A310" s="2"/>
      <c r="B310" s="1"/>
      <c r="C310" s="1"/>
      <c r="D310" s="1"/>
      <c r="E310" s="1"/>
      <c r="F310" s="1"/>
      <c r="G310" s="1"/>
      <c r="H310" s="1"/>
      <c r="I310" s="11"/>
    </row>
    <row r="311" spans="1:9">
      <c r="A311" s="2"/>
      <c r="B311" s="1"/>
      <c r="C311" s="1"/>
      <c r="D311" s="1"/>
      <c r="E311" s="1"/>
      <c r="F311" s="1"/>
      <c r="G311" s="1"/>
      <c r="H311" s="1"/>
      <c r="I311" s="11"/>
    </row>
    <row r="312" spans="1:9">
      <c r="A312" s="2"/>
      <c r="B312" s="1"/>
      <c r="C312" s="1"/>
      <c r="D312" s="1"/>
      <c r="E312" s="1"/>
      <c r="F312" s="1"/>
      <c r="G312" s="1"/>
      <c r="H312" s="1"/>
      <c r="I312" s="11"/>
    </row>
    <row r="313" spans="1:9">
      <c r="A313" s="2"/>
      <c r="B313" s="1"/>
      <c r="C313" s="1"/>
      <c r="D313" s="1"/>
      <c r="E313" s="1"/>
      <c r="F313" s="1"/>
      <c r="G313" s="1"/>
      <c r="H313" s="1"/>
      <c r="I313" s="11"/>
    </row>
    <row r="314" spans="1:9">
      <c r="A314" s="2"/>
      <c r="B314" s="1"/>
      <c r="C314" s="1"/>
      <c r="D314" s="1"/>
      <c r="E314" s="1"/>
      <c r="F314" s="1"/>
      <c r="G314" s="1"/>
      <c r="H314" s="1"/>
      <c r="I314" s="11"/>
    </row>
    <row r="315" spans="1:9">
      <c r="A315" s="2"/>
      <c r="B315" s="1"/>
      <c r="C315" s="1"/>
      <c r="D315" s="1"/>
      <c r="E315" s="1"/>
      <c r="F315" s="1"/>
      <c r="G315" s="1"/>
      <c r="H315" s="1"/>
      <c r="I315" s="11"/>
    </row>
    <row r="316" spans="1:9">
      <c r="A316" s="2"/>
      <c r="B316" s="1"/>
      <c r="C316" s="1"/>
      <c r="D316" s="1"/>
      <c r="E316" s="1"/>
      <c r="F316" s="1"/>
      <c r="G316" s="1"/>
      <c r="H316" s="1"/>
      <c r="I316" s="11"/>
    </row>
    <row r="317" spans="1:9">
      <c r="A317" s="2"/>
      <c r="B317" s="1"/>
      <c r="C317" s="1"/>
      <c r="D317" s="1"/>
      <c r="E317" s="1"/>
      <c r="F317" s="1"/>
      <c r="G317" s="1"/>
      <c r="H317" s="1"/>
      <c r="I317" s="11"/>
    </row>
    <row r="318" spans="1:9">
      <c r="A318" s="2"/>
      <c r="B318" s="1"/>
      <c r="C318" s="1"/>
      <c r="D318" s="1"/>
      <c r="E318" s="1"/>
      <c r="F318" s="1"/>
      <c r="G318" s="1"/>
      <c r="H318" s="1"/>
      <c r="I318" s="11"/>
    </row>
    <row r="319" spans="1:9">
      <c r="A319" s="2"/>
      <c r="B319" s="1"/>
      <c r="C319" s="1"/>
      <c r="D319" s="1"/>
      <c r="E319" s="1"/>
      <c r="F319" s="1"/>
      <c r="G319" s="1"/>
      <c r="H319" s="1"/>
      <c r="I319" s="11"/>
    </row>
    <row r="320" spans="1:9">
      <c r="A320" s="2"/>
      <c r="B320" s="1"/>
      <c r="C320" s="1"/>
      <c r="D320" s="1"/>
      <c r="E320" s="1"/>
      <c r="F320" s="1"/>
      <c r="G320" s="1"/>
      <c r="H320" s="1"/>
      <c r="I320" s="11"/>
    </row>
    <row r="321" spans="1:9">
      <c r="A321" s="2"/>
      <c r="B321" s="1"/>
      <c r="C321" s="1"/>
      <c r="D321" s="1"/>
      <c r="E321" s="1"/>
      <c r="F321" s="1"/>
      <c r="G321" s="1"/>
      <c r="H321" s="1"/>
      <c r="I321" s="11"/>
    </row>
    <row r="322" spans="1:9">
      <c r="A322" s="2"/>
      <c r="B322" s="1"/>
      <c r="C322" s="1"/>
      <c r="D322" s="1"/>
      <c r="E322" s="1"/>
      <c r="F322" s="1"/>
      <c r="G322" s="1"/>
      <c r="H322" s="1"/>
      <c r="I322" s="11"/>
    </row>
    <row r="323" spans="1:9">
      <c r="A323" s="2"/>
      <c r="B323" s="1"/>
      <c r="C323" s="1"/>
      <c r="D323" s="1"/>
      <c r="E323" s="1"/>
      <c r="F323" s="1"/>
      <c r="G323" s="1"/>
      <c r="H323" s="1"/>
      <c r="I323" s="11"/>
    </row>
    <row r="324" spans="1:9">
      <c r="A324" s="2"/>
      <c r="B324" s="1"/>
      <c r="C324" s="1"/>
      <c r="D324" s="1"/>
      <c r="E324" s="1"/>
      <c r="F324" s="1"/>
      <c r="G324" s="1"/>
      <c r="H324" s="1"/>
      <c r="I324" s="11"/>
    </row>
    <row r="325" spans="1:9">
      <c r="A325" s="2"/>
      <c r="B325" s="1"/>
      <c r="C325" s="1"/>
      <c r="D325" s="1"/>
      <c r="E325" s="1"/>
      <c r="F325" s="1"/>
      <c r="G325" s="1"/>
      <c r="H325" s="1"/>
      <c r="I325" s="11"/>
    </row>
    <row r="326" spans="1:9">
      <c r="A326" s="2"/>
      <c r="B326" s="1"/>
      <c r="C326" s="1"/>
      <c r="D326" s="1"/>
      <c r="E326" s="1"/>
      <c r="F326" s="1"/>
      <c r="G326" s="1"/>
      <c r="H326" s="1"/>
      <c r="I326" s="11"/>
    </row>
    <row r="327" spans="1:9">
      <c r="A327" s="2"/>
      <c r="B327" s="1"/>
      <c r="C327" s="1"/>
      <c r="D327" s="1"/>
      <c r="E327" s="1"/>
      <c r="F327" s="1"/>
      <c r="G327" s="1"/>
      <c r="H327" s="1"/>
      <c r="I327" s="11"/>
    </row>
    <row r="328" spans="1:9">
      <c r="A328" s="2"/>
      <c r="B328" s="1"/>
      <c r="C328" s="1"/>
      <c r="D328" s="1"/>
      <c r="E328" s="1"/>
      <c r="F328" s="1"/>
      <c r="G328" s="1"/>
      <c r="H328" s="1"/>
      <c r="I328" s="11"/>
    </row>
    <row r="329" spans="1:9">
      <c r="A329" s="2"/>
      <c r="B329" s="1"/>
      <c r="C329" s="1"/>
      <c r="D329" s="1"/>
      <c r="E329" s="1"/>
      <c r="F329" s="1"/>
      <c r="G329" s="1"/>
      <c r="H329" s="1"/>
      <c r="I329" s="11"/>
    </row>
    <row r="330" spans="1:9">
      <c r="A330" s="2"/>
      <c r="B330" s="1"/>
      <c r="C330" s="1"/>
      <c r="D330" s="1"/>
      <c r="E330" s="1"/>
      <c r="F330" s="1"/>
      <c r="G330" s="1"/>
      <c r="H330" s="1"/>
      <c r="I330" s="11"/>
    </row>
    <row r="331" spans="1:9">
      <c r="A331" s="2"/>
      <c r="B331" s="1"/>
      <c r="C331" s="1"/>
      <c r="D331" s="1"/>
      <c r="E331" s="1"/>
      <c r="F331" s="1"/>
      <c r="G331" s="1"/>
      <c r="H331" s="1"/>
      <c r="I331" s="11"/>
    </row>
    <row r="332" spans="1:9">
      <c r="A332" s="2"/>
      <c r="B332" s="1"/>
      <c r="C332" s="1"/>
      <c r="D332" s="1"/>
      <c r="E332" s="1"/>
      <c r="F332" s="1"/>
      <c r="G332" s="1"/>
      <c r="H332" s="1"/>
      <c r="I332" s="11"/>
    </row>
    <row r="333" spans="1:9">
      <c r="A333" s="2"/>
      <c r="B333" s="1"/>
      <c r="C333" s="1"/>
      <c r="D333" s="1"/>
      <c r="E333" s="1"/>
      <c r="F333" s="1"/>
      <c r="G333" s="1"/>
      <c r="H333" s="1"/>
      <c r="I333" s="11"/>
    </row>
    <row r="334" spans="1:9">
      <c r="A334" s="2"/>
      <c r="B334" s="1"/>
      <c r="C334" s="1"/>
      <c r="D334" s="1"/>
      <c r="E334" s="1"/>
      <c r="F334" s="1"/>
      <c r="G334" s="1"/>
      <c r="H334" s="1"/>
      <c r="I334" s="11"/>
    </row>
    <row r="335" spans="1:9">
      <c r="A335" s="2"/>
      <c r="B335" s="1"/>
      <c r="C335" s="1"/>
      <c r="D335" s="1"/>
      <c r="E335" s="1"/>
      <c r="F335" s="1"/>
      <c r="G335" s="1"/>
      <c r="H335" s="1"/>
      <c r="I335" s="11"/>
    </row>
    <row r="336" spans="1:9">
      <c r="A336" s="2"/>
      <c r="B336" s="1"/>
      <c r="C336" s="1"/>
      <c r="D336" s="1"/>
      <c r="E336" s="1"/>
      <c r="F336" s="1"/>
      <c r="G336" s="1"/>
      <c r="H336" s="1"/>
      <c r="I336" s="11"/>
    </row>
    <row r="337" spans="1:9">
      <c r="A337" s="2"/>
      <c r="B337" s="1"/>
      <c r="C337" s="1"/>
      <c r="D337" s="1"/>
      <c r="E337" s="1"/>
      <c r="F337" s="1"/>
      <c r="G337" s="1"/>
      <c r="H337" s="1"/>
      <c r="I337" s="11"/>
    </row>
    <row r="338" spans="1:9">
      <c r="A338" s="2"/>
      <c r="B338" s="1"/>
      <c r="C338" s="1"/>
      <c r="D338" s="1"/>
      <c r="E338" s="1"/>
      <c r="F338" s="1"/>
      <c r="G338" s="1"/>
      <c r="H338" s="1"/>
      <c r="I338" s="11"/>
    </row>
    <row r="339" spans="1:9">
      <c r="A339" s="2"/>
      <c r="B339" s="1"/>
      <c r="C339" s="1"/>
      <c r="D339" s="1"/>
      <c r="E339" s="1"/>
      <c r="F339" s="1"/>
      <c r="G339" s="1"/>
      <c r="H339" s="1"/>
      <c r="I339" s="11"/>
    </row>
    <row r="340" spans="1:9">
      <c r="A340" s="2"/>
      <c r="B340" s="1"/>
      <c r="C340" s="1"/>
      <c r="D340" s="1"/>
      <c r="E340" s="1"/>
      <c r="F340" s="1"/>
      <c r="G340" s="1"/>
      <c r="H340" s="1"/>
      <c r="I340" s="11"/>
    </row>
    <row r="341" spans="1:9">
      <c r="A341" s="2"/>
      <c r="B341" s="1"/>
      <c r="C341" s="1"/>
      <c r="D341" s="1"/>
      <c r="E341" s="1"/>
      <c r="F341" s="1"/>
      <c r="G341" s="1"/>
      <c r="H341" s="1"/>
      <c r="I341" s="11"/>
    </row>
    <row r="342" spans="1:9">
      <c r="A342" s="2"/>
      <c r="B342" s="1"/>
      <c r="C342" s="1"/>
      <c r="D342" s="1"/>
      <c r="E342" s="1"/>
      <c r="F342" s="1"/>
      <c r="G342" s="1"/>
      <c r="H342" s="1"/>
      <c r="I342" s="11"/>
    </row>
    <row r="343" spans="1:9">
      <c r="A343" s="2"/>
      <c r="B343" s="1"/>
      <c r="C343" s="1"/>
      <c r="D343" s="1"/>
      <c r="E343" s="1"/>
      <c r="F343" s="1"/>
      <c r="G343" s="1"/>
      <c r="H343" s="1"/>
      <c r="I343" s="11"/>
    </row>
    <row r="344" spans="1:9">
      <c r="A344" s="2"/>
      <c r="B344" s="1"/>
      <c r="C344" s="1"/>
      <c r="D344" s="1"/>
      <c r="E344" s="1"/>
      <c r="F344" s="1"/>
      <c r="G344" s="1"/>
      <c r="H344" s="1"/>
      <c r="I344" s="11"/>
    </row>
    <row r="345" spans="1:9">
      <c r="A345" s="2"/>
      <c r="B345" s="1"/>
      <c r="C345" s="1"/>
      <c r="D345" s="1"/>
      <c r="E345" s="1"/>
      <c r="F345" s="1"/>
      <c r="G345" s="1"/>
      <c r="H345" s="1"/>
      <c r="I345" s="11"/>
    </row>
    <row r="346" spans="1:9">
      <c r="A346" s="2"/>
      <c r="B346" s="1"/>
      <c r="C346" s="1"/>
      <c r="D346" s="1"/>
      <c r="E346" s="1"/>
      <c r="F346" s="1"/>
      <c r="G346" s="1"/>
      <c r="H346" s="1"/>
      <c r="I346" s="11"/>
    </row>
    <row r="347" spans="1:9">
      <c r="A347" s="2"/>
      <c r="B347" s="1"/>
      <c r="C347" s="1"/>
      <c r="D347" s="1"/>
      <c r="E347" s="1"/>
      <c r="F347" s="1"/>
      <c r="G347" s="1"/>
      <c r="H347" s="1"/>
      <c r="I347" s="11"/>
    </row>
    <row r="348" spans="1:9">
      <c r="A348" s="2"/>
      <c r="B348" s="1"/>
      <c r="C348" s="1"/>
      <c r="D348" s="1"/>
      <c r="E348" s="1"/>
      <c r="F348" s="1"/>
      <c r="G348" s="1"/>
      <c r="H348" s="1"/>
      <c r="I348" s="11"/>
    </row>
    <row r="349" spans="1:9">
      <c r="A349" s="2"/>
      <c r="B349" s="1"/>
      <c r="C349" s="1"/>
      <c r="D349" s="1"/>
      <c r="E349" s="1"/>
      <c r="F349" s="1"/>
      <c r="G349" s="1"/>
      <c r="H349" s="1"/>
      <c r="I349" s="11"/>
    </row>
    <row r="350" spans="1:9">
      <c r="A350" s="2"/>
      <c r="B350" s="1"/>
      <c r="C350" s="1"/>
      <c r="D350" s="1"/>
      <c r="E350" s="1"/>
      <c r="F350" s="1"/>
      <c r="G350" s="1"/>
      <c r="H350" s="1"/>
      <c r="I350" s="11"/>
    </row>
    <row r="351" spans="1:9">
      <c r="A351" s="2"/>
      <c r="B351" s="1"/>
      <c r="C351" s="1"/>
      <c r="D351" s="1"/>
      <c r="E351" s="1"/>
      <c r="F351" s="1"/>
      <c r="G351" s="1"/>
      <c r="H351" s="1"/>
      <c r="I351" s="11"/>
    </row>
    <row r="352" spans="1:9">
      <c r="A352" s="2"/>
      <c r="B352" s="1"/>
      <c r="C352" s="1"/>
      <c r="D352" s="1"/>
      <c r="E352" s="1"/>
      <c r="F352" s="1"/>
      <c r="G352" s="1"/>
      <c r="H352" s="1"/>
      <c r="I352" s="11"/>
    </row>
    <row r="353" spans="1:9">
      <c r="A353" s="2"/>
      <c r="B353" s="1"/>
      <c r="C353" s="1"/>
      <c r="D353" s="1"/>
      <c r="E353" s="1"/>
      <c r="F353" s="1"/>
      <c r="G353" s="1"/>
      <c r="H353" s="1"/>
      <c r="I353" s="11"/>
    </row>
    <row r="354" spans="1:9">
      <c r="A354" s="2"/>
      <c r="B354" s="1"/>
      <c r="C354" s="1"/>
      <c r="D354" s="1"/>
      <c r="E354" s="1"/>
      <c r="F354" s="1"/>
      <c r="G354" s="1"/>
      <c r="H354" s="1"/>
      <c r="I354" s="11"/>
    </row>
    <row r="355" spans="1:9">
      <c r="A355" s="2"/>
      <c r="B355" s="1"/>
      <c r="C355" s="1"/>
      <c r="D355" s="1"/>
      <c r="E355" s="1"/>
      <c r="F355" s="1"/>
      <c r="G355" s="1"/>
      <c r="H355" s="1"/>
      <c r="I355" s="11"/>
    </row>
    <row r="356" spans="1:9">
      <c r="A356" s="2"/>
      <c r="B356" s="1"/>
      <c r="C356" s="1"/>
      <c r="D356" s="1"/>
      <c r="E356" s="1"/>
      <c r="F356" s="1"/>
      <c r="G356" s="1"/>
      <c r="H356" s="1"/>
      <c r="I356" s="11"/>
    </row>
    <row r="357" spans="1:9">
      <c r="A357" s="2"/>
      <c r="B357" s="1"/>
      <c r="C357" s="1"/>
      <c r="D357" s="1"/>
      <c r="E357" s="1"/>
      <c r="F357" s="1"/>
      <c r="G357" s="1"/>
      <c r="H357" s="1"/>
      <c r="I357" s="11"/>
    </row>
    <row r="358" spans="1:9">
      <c r="A358" s="2"/>
      <c r="B358" s="1"/>
      <c r="C358" s="1"/>
      <c r="D358" s="1"/>
      <c r="E358" s="1"/>
      <c r="F358" s="1"/>
      <c r="G358" s="1"/>
      <c r="H358" s="1"/>
      <c r="I358" s="11"/>
    </row>
    <row r="359" spans="1:9">
      <c r="A359" s="2"/>
      <c r="B359" s="1"/>
      <c r="C359" s="1"/>
      <c r="D359" s="1"/>
      <c r="E359" s="1"/>
      <c r="F359" s="1"/>
      <c r="G359" s="1"/>
      <c r="H359" s="1"/>
      <c r="I359" s="11"/>
    </row>
    <row r="360" spans="1:9">
      <c r="A360" s="2"/>
      <c r="B360" s="1"/>
      <c r="C360" s="1"/>
      <c r="D360" s="1"/>
      <c r="E360" s="1"/>
      <c r="F360" s="1"/>
      <c r="G360" s="1"/>
      <c r="H360" s="1"/>
      <c r="I360" s="11"/>
    </row>
    <row r="361" spans="1:9">
      <c r="A361" s="2"/>
      <c r="B361" s="1"/>
      <c r="C361" s="1"/>
      <c r="D361" s="1"/>
      <c r="E361" s="1"/>
      <c r="F361" s="1"/>
      <c r="G361" s="1"/>
      <c r="H361" s="1"/>
      <c r="I361" s="11"/>
    </row>
    <row r="362" spans="1:9">
      <c r="A362" s="2"/>
      <c r="B362" s="1"/>
      <c r="C362" s="1"/>
      <c r="D362" s="1"/>
      <c r="E362" s="1"/>
      <c r="F362" s="1"/>
      <c r="G362" s="1"/>
      <c r="H362" s="1"/>
      <c r="I362" s="11"/>
    </row>
    <row r="363" spans="1:9">
      <c r="A363" s="2"/>
      <c r="B363" s="1"/>
      <c r="C363" s="1"/>
      <c r="D363" s="1"/>
      <c r="E363" s="1"/>
      <c r="F363" s="1"/>
      <c r="G363" s="1"/>
      <c r="H363" s="1"/>
      <c r="I363" s="11"/>
    </row>
    <row r="364" spans="1:9">
      <c r="A364" s="2"/>
      <c r="B364" s="1"/>
      <c r="C364" s="1"/>
      <c r="D364" s="1"/>
      <c r="E364" s="1"/>
      <c r="F364" s="1"/>
      <c r="G364" s="1"/>
      <c r="H364" s="1"/>
      <c r="I364" s="11"/>
    </row>
    <row r="365" spans="1:9">
      <c r="A365" s="2"/>
      <c r="B365" s="1"/>
      <c r="C365" s="1"/>
      <c r="D365" s="1"/>
      <c r="E365" s="1"/>
      <c r="F365" s="1"/>
      <c r="G365" s="1"/>
      <c r="H365" s="1"/>
      <c r="I365" s="11"/>
    </row>
    <row r="366" spans="1:9">
      <c r="A366" s="2"/>
      <c r="B366" s="1"/>
      <c r="C366" s="1"/>
      <c r="D366" s="1"/>
      <c r="E366" s="1"/>
      <c r="F366" s="1"/>
      <c r="G366" s="1"/>
      <c r="H366" s="1"/>
      <c r="I366" s="11"/>
    </row>
    <row r="367" spans="1:9">
      <c r="A367" s="2"/>
      <c r="B367" s="1"/>
      <c r="C367" s="1"/>
      <c r="D367" s="1"/>
      <c r="E367" s="1"/>
      <c r="F367" s="1"/>
      <c r="G367" s="1"/>
      <c r="H367" s="1"/>
      <c r="I367" s="11"/>
    </row>
    <row r="368" spans="1:9">
      <c r="A368" s="2"/>
      <c r="B368" s="1"/>
      <c r="C368" s="1"/>
      <c r="D368" s="1"/>
      <c r="E368" s="1"/>
      <c r="F368" s="1"/>
      <c r="G368" s="1"/>
      <c r="H368" s="1"/>
      <c r="I368" s="11"/>
    </row>
    <row r="369" spans="1:9">
      <c r="A369" s="2"/>
      <c r="B369" s="1"/>
      <c r="C369" s="1"/>
      <c r="D369" s="1"/>
      <c r="E369" s="1"/>
      <c r="F369" s="1"/>
      <c r="G369" s="1"/>
      <c r="H369" s="1"/>
      <c r="I369" s="11"/>
    </row>
    <row r="370" spans="1:9">
      <c r="A370" s="2"/>
      <c r="B370" s="1"/>
      <c r="C370" s="1"/>
      <c r="D370" s="1"/>
      <c r="E370" s="1"/>
      <c r="F370" s="1"/>
      <c r="G370" s="1"/>
      <c r="H370" s="1"/>
      <c r="I370" s="11"/>
    </row>
    <row r="371" spans="1:9">
      <c r="A371" s="2"/>
      <c r="B371" s="1"/>
      <c r="C371" s="1"/>
      <c r="D371" s="1"/>
      <c r="E371" s="1"/>
      <c r="F371" s="1"/>
      <c r="G371" s="1"/>
      <c r="H371" s="1"/>
      <c r="I371" s="11"/>
    </row>
    <row r="372" spans="1:9">
      <c r="A372" s="2"/>
      <c r="B372" s="1"/>
      <c r="C372" s="1"/>
      <c r="D372" s="1"/>
      <c r="E372" s="1"/>
      <c r="F372" s="1"/>
      <c r="G372" s="1"/>
      <c r="H372" s="1"/>
      <c r="I372" s="11"/>
    </row>
    <row r="373" spans="1:9">
      <c r="A373" s="2"/>
      <c r="B373" s="1"/>
      <c r="C373" s="1"/>
      <c r="D373" s="1"/>
      <c r="E373" s="1"/>
      <c r="F373" s="1"/>
      <c r="G373" s="1"/>
      <c r="H373" s="1"/>
      <c r="I373" s="11"/>
    </row>
    <row r="374" spans="1:9">
      <c r="A374" s="2"/>
      <c r="B374" s="1"/>
      <c r="C374" s="1"/>
      <c r="D374" s="1"/>
      <c r="E374" s="1"/>
      <c r="F374" s="1"/>
      <c r="G374" s="1"/>
      <c r="H374" s="1"/>
      <c r="I374" s="11"/>
    </row>
    <row r="375" spans="1:9">
      <c r="A375" s="2"/>
      <c r="B375" s="1"/>
      <c r="C375" s="1"/>
      <c r="D375" s="1"/>
      <c r="E375" s="1"/>
      <c r="F375" s="1"/>
      <c r="G375" s="1"/>
      <c r="H375" s="1"/>
      <c r="I375" s="11"/>
    </row>
    <row r="376" spans="1:9">
      <c r="A376" s="2"/>
      <c r="B376" s="1"/>
      <c r="C376" s="1"/>
      <c r="D376" s="1"/>
      <c r="E376" s="1"/>
      <c r="F376" s="1"/>
      <c r="G376" s="1"/>
      <c r="H376" s="1"/>
      <c r="I376" s="11"/>
    </row>
    <row r="377" spans="1:9">
      <c r="A377" s="2"/>
      <c r="B377" s="1"/>
      <c r="C377" s="1"/>
      <c r="D377" s="1"/>
      <c r="E377" s="1"/>
      <c r="F377" s="1"/>
      <c r="G377" s="1"/>
      <c r="H377" s="1"/>
      <c r="I377" s="11"/>
    </row>
    <row r="378" spans="1:9">
      <c r="A378" s="2"/>
      <c r="B378" s="1"/>
      <c r="C378" s="1"/>
      <c r="D378" s="1"/>
      <c r="E378" s="1"/>
      <c r="F378" s="1"/>
      <c r="G378" s="1"/>
      <c r="H378" s="1"/>
      <c r="I378" s="11"/>
    </row>
    <row r="379" spans="1:9">
      <c r="A379" s="2"/>
      <c r="B379" s="1"/>
      <c r="C379" s="1"/>
      <c r="D379" s="1"/>
      <c r="E379" s="1"/>
      <c r="F379" s="1"/>
      <c r="G379" s="1"/>
      <c r="H379" s="1"/>
      <c r="I379" s="11"/>
    </row>
    <row r="380" spans="1:9">
      <c r="A380" s="2"/>
      <c r="B380" s="1"/>
      <c r="C380" s="1"/>
      <c r="D380" s="1"/>
      <c r="E380" s="1"/>
      <c r="F380" s="1"/>
      <c r="G380" s="1"/>
      <c r="H380" s="1"/>
      <c r="I380" s="11"/>
    </row>
    <row r="381" spans="1:9">
      <c r="A381" s="2"/>
      <c r="B381" s="1"/>
      <c r="C381" s="1"/>
      <c r="D381" s="1"/>
      <c r="E381" s="1"/>
      <c r="F381" s="1"/>
      <c r="G381" s="1"/>
      <c r="H381" s="1"/>
      <c r="I381" s="11"/>
    </row>
    <row r="382" spans="1:9">
      <c r="A382" s="2"/>
      <c r="B382" s="1"/>
      <c r="C382" s="1"/>
      <c r="D382" s="1"/>
      <c r="E382" s="1"/>
      <c r="F382" s="1"/>
      <c r="G382" s="1"/>
      <c r="H382" s="1"/>
      <c r="I382" s="11"/>
    </row>
    <row r="383" spans="1:9">
      <c r="A383" s="2"/>
      <c r="B383" s="1"/>
      <c r="C383" s="1"/>
      <c r="D383" s="1"/>
      <c r="E383" s="1"/>
      <c r="F383" s="1"/>
      <c r="G383" s="1"/>
      <c r="H383" s="1"/>
      <c r="I383" s="11"/>
    </row>
    <row r="384" spans="1:9">
      <c r="A384" s="2"/>
      <c r="B384" s="1"/>
      <c r="C384" s="1"/>
      <c r="D384" s="1"/>
      <c r="E384" s="1"/>
      <c r="F384" s="1"/>
      <c r="G384" s="1"/>
      <c r="H384" s="1"/>
      <c r="I384" s="11"/>
    </row>
    <row r="385" spans="1:9">
      <c r="A385" s="2"/>
      <c r="B385" s="1"/>
      <c r="C385" s="1"/>
      <c r="D385" s="1"/>
      <c r="E385" s="1"/>
      <c r="F385" s="1"/>
      <c r="G385" s="1"/>
      <c r="H385" s="1"/>
      <c r="I385" s="11"/>
    </row>
    <row r="386" spans="1:9">
      <c r="A386" s="2"/>
      <c r="B386" s="1"/>
      <c r="C386" s="1"/>
      <c r="D386" s="1"/>
      <c r="E386" s="1"/>
      <c r="F386" s="1"/>
      <c r="G386" s="1"/>
      <c r="H386" s="1"/>
      <c r="I386" s="11"/>
    </row>
    <row r="387" spans="1:9">
      <c r="A387" s="2"/>
      <c r="B387" s="1"/>
      <c r="C387" s="1"/>
      <c r="D387" s="1"/>
      <c r="E387" s="1"/>
      <c r="F387" s="1"/>
      <c r="G387" s="1"/>
      <c r="H387" s="1"/>
      <c r="I387" s="11"/>
    </row>
    <row r="388" spans="1:9">
      <c r="A388" s="2"/>
      <c r="B388" s="1"/>
      <c r="C388" s="1"/>
      <c r="D388" s="1"/>
      <c r="E388" s="1"/>
      <c r="F388" s="1"/>
      <c r="G388" s="1"/>
      <c r="H388" s="1"/>
      <c r="I388" s="11"/>
    </row>
    <row r="389" spans="1:9">
      <c r="A389" s="2"/>
      <c r="B389" s="1"/>
      <c r="C389" s="1"/>
      <c r="D389" s="1"/>
      <c r="E389" s="1"/>
      <c r="F389" s="1"/>
      <c r="G389" s="1"/>
      <c r="H389" s="1"/>
      <c r="I389" s="11"/>
    </row>
    <row r="390" spans="1:9">
      <c r="A390" s="2"/>
      <c r="B390" s="1"/>
      <c r="C390" s="1"/>
      <c r="D390" s="1"/>
      <c r="E390" s="1"/>
      <c r="F390" s="1"/>
      <c r="G390" s="1"/>
      <c r="H390" s="1"/>
      <c r="I390" s="11"/>
    </row>
    <row r="391" spans="1:9">
      <c r="A391" s="2"/>
      <c r="B391" s="1"/>
      <c r="C391" s="1"/>
      <c r="D391" s="1"/>
      <c r="E391" s="1"/>
      <c r="F391" s="1"/>
      <c r="G391" s="1"/>
      <c r="H391" s="1"/>
      <c r="I391" s="11"/>
    </row>
    <row r="392" spans="1:9">
      <c r="A392" s="2"/>
      <c r="B392" s="1"/>
      <c r="C392" s="1"/>
      <c r="D392" s="1"/>
      <c r="E392" s="1"/>
      <c r="F392" s="1"/>
      <c r="G392" s="1"/>
      <c r="H392" s="1"/>
      <c r="I392" s="11"/>
    </row>
    <row r="393" spans="1:9">
      <c r="A393" s="2"/>
      <c r="B393" s="1"/>
      <c r="C393" s="1"/>
      <c r="D393" s="1"/>
      <c r="E393" s="1"/>
      <c r="F393" s="1"/>
      <c r="G393" s="1"/>
      <c r="H393" s="1"/>
      <c r="I393" s="11"/>
    </row>
    <row r="394" spans="1:9">
      <c r="A394" s="2"/>
      <c r="B394" s="1"/>
      <c r="C394" s="1"/>
      <c r="D394" s="1"/>
      <c r="E394" s="1"/>
      <c r="F394" s="1"/>
      <c r="G394" s="1"/>
      <c r="H394" s="1"/>
      <c r="I394" s="11"/>
    </row>
    <row r="395" spans="1:9">
      <c r="A395" s="2"/>
      <c r="B395" s="1"/>
      <c r="C395" s="1"/>
      <c r="D395" s="1"/>
      <c r="E395" s="1"/>
      <c r="F395" s="1"/>
      <c r="G395" s="1"/>
      <c r="H395" s="1"/>
      <c r="I395" s="11"/>
    </row>
    <row r="396" spans="1:9">
      <c r="A396" s="2"/>
      <c r="B396" s="1"/>
      <c r="C396" s="1"/>
      <c r="D396" s="1"/>
      <c r="E396" s="1"/>
      <c r="F396" s="1"/>
      <c r="G396" s="1"/>
      <c r="H396" s="1"/>
      <c r="I396" s="11"/>
    </row>
    <row r="397" spans="1:9">
      <c r="A397" s="2"/>
      <c r="B397" s="1"/>
      <c r="C397" s="1"/>
      <c r="D397" s="1"/>
      <c r="E397" s="1"/>
      <c r="F397" s="1"/>
      <c r="G397" s="1"/>
      <c r="H397" s="1"/>
      <c r="I397" s="11"/>
    </row>
    <row r="398" spans="1:9">
      <c r="A398" s="2"/>
      <c r="B398" s="1"/>
      <c r="C398" s="1"/>
      <c r="D398" s="1"/>
      <c r="E398" s="1"/>
      <c r="F398" s="1"/>
      <c r="G398" s="1"/>
      <c r="H398" s="1"/>
      <c r="I398" s="11"/>
    </row>
    <row r="399" spans="1:9">
      <c r="A399" s="2"/>
      <c r="B399" s="1"/>
      <c r="C399" s="1"/>
      <c r="D399" s="1"/>
      <c r="E399" s="1"/>
      <c r="F399" s="1"/>
      <c r="G399" s="1"/>
      <c r="H399" s="1"/>
      <c r="I399" s="11"/>
    </row>
    <row r="400" spans="1:9">
      <c r="A400" s="2"/>
      <c r="B400" s="1"/>
      <c r="C400" s="1"/>
      <c r="D400" s="1"/>
      <c r="E400" s="1"/>
      <c r="F400" s="1"/>
      <c r="G400" s="1"/>
      <c r="H400" s="1"/>
      <c r="I400" s="11"/>
    </row>
    <row r="401" spans="1:9">
      <c r="A401" s="2"/>
      <c r="B401" s="1"/>
      <c r="C401" s="1"/>
      <c r="D401" s="1"/>
      <c r="E401" s="1"/>
      <c r="F401" s="1"/>
      <c r="G401" s="1"/>
      <c r="H401" s="1"/>
      <c r="I401" s="11"/>
    </row>
    <row r="402" spans="1:9">
      <c r="A402" s="2"/>
      <c r="B402" s="1"/>
      <c r="C402" s="1"/>
      <c r="D402" s="1"/>
      <c r="E402" s="1"/>
      <c r="F402" s="1"/>
      <c r="G402" s="1"/>
      <c r="H402" s="1"/>
      <c r="I402" s="11"/>
    </row>
    <row r="403" spans="1:9">
      <c r="A403" s="2"/>
      <c r="B403" s="1"/>
      <c r="C403" s="1"/>
      <c r="D403" s="1"/>
      <c r="E403" s="1"/>
      <c r="F403" s="1"/>
      <c r="G403" s="1"/>
      <c r="H403" s="1"/>
      <c r="I403" s="11"/>
    </row>
    <row r="404" spans="1:9">
      <c r="A404" s="2"/>
      <c r="B404" s="1"/>
      <c r="C404" s="1"/>
      <c r="D404" s="1"/>
      <c r="E404" s="1"/>
      <c r="F404" s="1"/>
      <c r="G404" s="1"/>
      <c r="H404" s="1"/>
      <c r="I404" s="11"/>
    </row>
    <row r="405" spans="1:9">
      <c r="A405" s="2"/>
      <c r="B405" s="1"/>
      <c r="C405" s="1"/>
      <c r="D405" s="1"/>
      <c r="E405" s="1"/>
      <c r="F405" s="1"/>
      <c r="G405" s="1"/>
      <c r="H405" s="1"/>
      <c r="I405" s="11"/>
    </row>
    <row r="406" spans="1:9">
      <c r="A406" s="2"/>
      <c r="B406" s="1"/>
      <c r="C406" s="1"/>
      <c r="D406" s="1"/>
      <c r="E406" s="1"/>
      <c r="F406" s="1"/>
      <c r="G406" s="1"/>
      <c r="H406" s="1"/>
      <c r="I406" s="11"/>
    </row>
    <row r="407" spans="1:9">
      <c r="A407" s="2"/>
      <c r="B407" s="1"/>
      <c r="C407" s="1"/>
      <c r="D407" s="1"/>
      <c r="E407" s="1"/>
      <c r="F407" s="1"/>
      <c r="G407" s="1"/>
      <c r="H407" s="1"/>
      <c r="I407" s="11"/>
    </row>
    <row r="408" spans="1:9">
      <c r="A408" s="2"/>
      <c r="B408" s="1"/>
      <c r="C408" s="1"/>
      <c r="D408" s="1"/>
      <c r="E408" s="1"/>
      <c r="F408" s="1"/>
      <c r="G408" s="1"/>
      <c r="H408" s="1"/>
      <c r="I408" s="11"/>
    </row>
    <row r="409" spans="1:9">
      <c r="A409" s="2"/>
      <c r="B409" s="1"/>
      <c r="C409" s="1"/>
      <c r="D409" s="1"/>
      <c r="E409" s="1"/>
      <c r="F409" s="1"/>
      <c r="G409" s="1"/>
      <c r="H409" s="1"/>
      <c r="I409" s="11"/>
    </row>
    <row r="410" spans="1:9">
      <c r="A410" s="2"/>
      <c r="B410" s="1"/>
      <c r="C410" s="1"/>
      <c r="D410" s="1"/>
      <c r="E410" s="1"/>
      <c r="F410" s="1"/>
      <c r="G410" s="1"/>
      <c r="H410" s="1"/>
      <c r="I410" s="11"/>
    </row>
    <row r="411" spans="1:9">
      <c r="A411" s="2"/>
      <c r="B411" s="1"/>
      <c r="C411" s="1"/>
      <c r="D411" s="1"/>
      <c r="E411" s="1"/>
      <c r="F411" s="1"/>
      <c r="G411" s="1"/>
      <c r="H411" s="1"/>
      <c r="I411" s="11"/>
    </row>
    <row r="412" spans="1:9">
      <c r="A412" s="2"/>
      <c r="B412" s="1"/>
      <c r="C412" s="1"/>
      <c r="D412" s="1"/>
      <c r="E412" s="1"/>
      <c r="F412" s="1"/>
      <c r="G412" s="1"/>
      <c r="H412" s="1"/>
      <c r="I412" s="11"/>
    </row>
    <row r="413" spans="1:9">
      <c r="A413" s="2"/>
      <c r="B413" s="1"/>
      <c r="C413" s="1"/>
      <c r="D413" s="1"/>
      <c r="E413" s="1"/>
      <c r="F413" s="1"/>
      <c r="G413" s="1"/>
      <c r="H413" s="1"/>
      <c r="I413" s="11"/>
    </row>
    <row r="414" spans="1:9">
      <c r="A414" s="2"/>
      <c r="B414" s="1"/>
      <c r="C414" s="1"/>
      <c r="D414" s="1"/>
      <c r="E414" s="1"/>
      <c r="F414" s="1"/>
      <c r="G414" s="1"/>
      <c r="H414" s="1"/>
      <c r="I414" s="11"/>
    </row>
    <row r="415" spans="1:9">
      <c r="A415" s="2"/>
      <c r="B415" s="1"/>
      <c r="C415" s="1"/>
      <c r="D415" s="1"/>
      <c r="E415" s="1"/>
      <c r="F415" s="1"/>
      <c r="G415" s="1"/>
      <c r="H415" s="1"/>
      <c r="I415" s="11"/>
    </row>
    <row r="416" spans="1:9">
      <c r="A416" s="2"/>
      <c r="B416" s="1"/>
      <c r="C416" s="1"/>
      <c r="D416" s="1"/>
      <c r="E416" s="1"/>
      <c r="F416" s="1"/>
      <c r="G416" s="1"/>
      <c r="H416" s="1"/>
      <c r="I416" s="11"/>
    </row>
    <row r="417" spans="1:9">
      <c r="A417" s="2"/>
      <c r="B417" s="1"/>
      <c r="C417" s="1"/>
      <c r="D417" s="1"/>
      <c r="E417" s="1"/>
      <c r="F417" s="1"/>
      <c r="G417" s="1"/>
      <c r="H417" s="1"/>
      <c r="I417" s="11"/>
    </row>
    <row r="418" spans="1:9">
      <c r="A418" s="2"/>
      <c r="B418" s="1"/>
      <c r="C418" s="1"/>
      <c r="D418" s="1"/>
      <c r="E418" s="1"/>
      <c r="F418" s="1"/>
      <c r="G418" s="1"/>
      <c r="H418" s="1"/>
      <c r="I418" s="11"/>
    </row>
    <row r="419" spans="1:9">
      <c r="A419" s="2"/>
      <c r="B419" s="1"/>
      <c r="C419" s="1"/>
      <c r="D419" s="1"/>
      <c r="E419" s="1"/>
      <c r="F419" s="1"/>
      <c r="G419" s="1"/>
      <c r="H419" s="1"/>
      <c r="I419" s="11"/>
    </row>
    <row r="420" spans="1:9">
      <c r="A420" s="2"/>
      <c r="B420" s="1"/>
      <c r="C420" s="1"/>
      <c r="D420" s="1"/>
      <c r="E420" s="1"/>
      <c r="F420" s="1"/>
      <c r="G420" s="1"/>
      <c r="H420" s="1"/>
      <c r="I420" s="11"/>
    </row>
    <row r="421" spans="1:9">
      <c r="A421" s="2"/>
      <c r="B421" s="1"/>
      <c r="C421" s="1"/>
      <c r="D421" s="1"/>
      <c r="E421" s="1"/>
      <c r="F421" s="1"/>
      <c r="G421" s="1"/>
      <c r="H421" s="1"/>
      <c r="I421" s="11"/>
    </row>
    <row r="422" spans="1:9">
      <c r="A422" s="2"/>
      <c r="B422" s="1"/>
      <c r="C422" s="1"/>
      <c r="D422" s="1"/>
      <c r="E422" s="1"/>
      <c r="F422" s="1"/>
      <c r="G422" s="1"/>
      <c r="H422" s="1"/>
      <c r="I422" s="11"/>
    </row>
    <row r="423" spans="1:9">
      <c r="A423" s="2"/>
      <c r="B423" s="1"/>
      <c r="C423" s="1"/>
      <c r="D423" s="1"/>
      <c r="E423" s="1"/>
      <c r="F423" s="1"/>
      <c r="G423" s="1"/>
      <c r="H423" s="1"/>
      <c r="I423" s="11"/>
    </row>
    <row r="424" spans="1:9">
      <c r="A424" s="2"/>
      <c r="B424" s="1"/>
      <c r="C424" s="1"/>
      <c r="D424" s="1"/>
      <c r="E424" s="1"/>
      <c r="F424" s="1"/>
      <c r="G424" s="1"/>
      <c r="H424" s="1"/>
      <c r="I424" s="11"/>
    </row>
    <row r="425" spans="1:9">
      <c r="A425" s="2"/>
      <c r="B425" s="1"/>
      <c r="C425" s="1"/>
      <c r="D425" s="1"/>
      <c r="E425" s="1"/>
      <c r="F425" s="1"/>
      <c r="G425" s="1"/>
      <c r="H425" s="1"/>
      <c r="I425" s="11"/>
    </row>
    <row r="426" spans="1:9">
      <c r="A426" s="2"/>
      <c r="B426" s="1"/>
      <c r="C426" s="1"/>
      <c r="D426" s="1"/>
      <c r="E426" s="1"/>
      <c r="F426" s="1"/>
      <c r="G426" s="1"/>
      <c r="H426" s="1"/>
      <c r="I426" s="11"/>
    </row>
    <row r="427" spans="1:9">
      <c r="A427" s="2"/>
      <c r="B427" s="1"/>
      <c r="C427" s="1"/>
      <c r="D427" s="1"/>
      <c r="E427" s="1"/>
      <c r="F427" s="1"/>
      <c r="G427" s="1"/>
      <c r="H427" s="1"/>
      <c r="I427" s="11"/>
    </row>
    <row r="428" spans="1:9">
      <c r="A428" s="2"/>
      <c r="B428" s="1"/>
      <c r="C428" s="1"/>
      <c r="D428" s="1"/>
      <c r="E428" s="1"/>
      <c r="F428" s="1"/>
      <c r="G428" s="1"/>
      <c r="H428" s="1"/>
      <c r="I428" s="11"/>
    </row>
    <row r="429" spans="1:9">
      <c r="A429" s="2"/>
      <c r="B429" s="1"/>
      <c r="C429" s="1"/>
      <c r="D429" s="1"/>
      <c r="E429" s="1"/>
      <c r="F429" s="1"/>
      <c r="G429" s="1"/>
      <c r="H429" s="1"/>
      <c r="I429" s="11"/>
    </row>
    <row r="430" spans="1:9">
      <c r="A430" s="2"/>
      <c r="B430" s="1"/>
      <c r="C430" s="1"/>
      <c r="D430" s="1"/>
      <c r="E430" s="1"/>
      <c r="F430" s="1"/>
      <c r="G430" s="1"/>
      <c r="H430" s="1"/>
      <c r="I430" s="11"/>
    </row>
    <row r="431" spans="1:9">
      <c r="A431" s="2"/>
      <c r="B431" s="1"/>
      <c r="C431" s="1"/>
      <c r="D431" s="1"/>
      <c r="E431" s="1"/>
      <c r="F431" s="1"/>
      <c r="G431" s="1"/>
      <c r="H431" s="1"/>
      <c r="I431" s="11"/>
    </row>
    <row r="432" spans="1:9">
      <c r="A432" s="2"/>
      <c r="B432" s="1"/>
      <c r="C432" s="1"/>
      <c r="D432" s="1"/>
      <c r="E432" s="1"/>
      <c r="F432" s="1"/>
      <c r="G432" s="1"/>
      <c r="H432" s="1"/>
      <c r="I432" s="11"/>
    </row>
    <row r="433" spans="1:9">
      <c r="A433" s="2"/>
      <c r="B433" s="1"/>
      <c r="C433" s="1"/>
      <c r="D433" s="1"/>
      <c r="E433" s="1"/>
      <c r="F433" s="1"/>
      <c r="G433" s="1"/>
      <c r="H433" s="1"/>
      <c r="I433" s="11"/>
    </row>
    <row r="434" spans="1:9">
      <c r="A434" s="2"/>
      <c r="B434" s="1"/>
      <c r="C434" s="1"/>
      <c r="D434" s="1"/>
      <c r="E434" s="1"/>
      <c r="F434" s="1"/>
      <c r="G434" s="1"/>
      <c r="H434" s="1"/>
      <c r="I434" s="11"/>
    </row>
    <row r="435" spans="1:9">
      <c r="A435" s="2"/>
      <c r="B435" s="1"/>
      <c r="C435" s="1"/>
      <c r="D435" s="1"/>
      <c r="E435" s="1"/>
      <c r="F435" s="1"/>
      <c r="G435" s="1"/>
      <c r="H435" s="1"/>
      <c r="I435" s="11"/>
    </row>
    <row r="436" spans="1:9">
      <c r="A436" s="2"/>
      <c r="B436" s="1"/>
      <c r="C436" s="1"/>
      <c r="D436" s="1"/>
      <c r="E436" s="1"/>
      <c r="F436" s="1"/>
      <c r="G436" s="1"/>
      <c r="H436" s="1"/>
      <c r="I436" s="11"/>
    </row>
    <row r="437" spans="1:9">
      <c r="A437" s="2"/>
      <c r="B437" s="1"/>
      <c r="C437" s="1"/>
      <c r="D437" s="1"/>
      <c r="E437" s="1"/>
      <c r="F437" s="1"/>
      <c r="G437" s="1"/>
      <c r="H437" s="1"/>
      <c r="I437" s="11"/>
    </row>
    <row r="438" spans="1:9">
      <c r="A438" s="2"/>
      <c r="B438" s="1"/>
      <c r="C438" s="1"/>
      <c r="D438" s="1"/>
      <c r="E438" s="1"/>
      <c r="F438" s="1"/>
      <c r="G438" s="1"/>
      <c r="H438" s="1"/>
      <c r="I438" s="11"/>
    </row>
    <row r="439" spans="1:9">
      <c r="A439" s="2"/>
      <c r="B439" s="1"/>
      <c r="C439" s="1"/>
      <c r="D439" s="1"/>
      <c r="E439" s="1"/>
      <c r="F439" s="1"/>
      <c r="G439" s="1"/>
      <c r="H439" s="1"/>
      <c r="I439" s="11"/>
    </row>
    <row r="440" spans="1:9">
      <c r="A440" s="2"/>
      <c r="B440" s="1"/>
      <c r="C440" s="1"/>
      <c r="D440" s="1"/>
      <c r="E440" s="1"/>
      <c r="F440" s="1"/>
      <c r="G440" s="1"/>
      <c r="H440" s="1"/>
      <c r="I440" s="11"/>
    </row>
    <row r="441" spans="1:9">
      <c r="A441" s="2"/>
      <c r="B441" s="1"/>
      <c r="C441" s="1"/>
      <c r="D441" s="1"/>
      <c r="E441" s="1"/>
      <c r="F441" s="1"/>
      <c r="G441" s="1"/>
      <c r="H441" s="1"/>
      <c r="I441" s="11"/>
    </row>
    <row r="442" spans="1:9">
      <c r="A442" s="2"/>
      <c r="B442" s="1"/>
      <c r="C442" s="1"/>
      <c r="D442" s="1"/>
      <c r="E442" s="1"/>
      <c r="F442" s="1"/>
      <c r="G442" s="1"/>
      <c r="H442" s="1"/>
      <c r="I442" s="11"/>
    </row>
    <row r="443" spans="1:9">
      <c r="A443" s="2"/>
      <c r="B443" s="1"/>
      <c r="C443" s="1"/>
      <c r="D443" s="1"/>
      <c r="E443" s="1"/>
      <c r="F443" s="1"/>
      <c r="G443" s="1"/>
      <c r="H443" s="1"/>
      <c r="I443" s="11"/>
    </row>
    <row r="444" spans="1:9">
      <c r="A444" s="2"/>
      <c r="B444" s="1"/>
      <c r="C444" s="1"/>
      <c r="D444" s="1"/>
      <c r="E444" s="1"/>
      <c r="F444" s="1"/>
      <c r="G444" s="1"/>
      <c r="H444" s="1"/>
      <c r="I444" s="11"/>
    </row>
    <row r="445" spans="1:9">
      <c r="A445" s="2"/>
      <c r="B445" s="1"/>
      <c r="C445" s="1"/>
      <c r="D445" s="1"/>
      <c r="E445" s="1"/>
      <c r="F445" s="1"/>
      <c r="G445" s="1"/>
      <c r="H445" s="1"/>
      <c r="I445" s="11"/>
    </row>
    <row r="446" spans="1:9">
      <c r="A446" s="2"/>
      <c r="B446" s="1"/>
      <c r="C446" s="1"/>
      <c r="D446" s="1"/>
      <c r="E446" s="1"/>
      <c r="F446" s="1"/>
      <c r="G446" s="1"/>
      <c r="H446" s="1"/>
      <c r="I446" s="11"/>
    </row>
    <row r="447" spans="1:9">
      <c r="A447" s="2"/>
      <c r="B447" s="1"/>
      <c r="C447" s="1"/>
      <c r="D447" s="1"/>
      <c r="E447" s="1"/>
      <c r="F447" s="1"/>
      <c r="G447" s="1"/>
      <c r="H447" s="1"/>
      <c r="I447" s="11"/>
    </row>
    <row r="448" spans="1:9">
      <c r="A448" s="2"/>
      <c r="B448" s="1"/>
      <c r="C448" s="1"/>
      <c r="D448" s="1"/>
      <c r="E448" s="1"/>
      <c r="F448" s="1"/>
      <c r="G448" s="1"/>
      <c r="H448" s="1"/>
      <c r="I448" s="11"/>
    </row>
    <row r="449" spans="1:9">
      <c r="A449" s="2"/>
      <c r="B449" s="1"/>
      <c r="C449" s="1"/>
      <c r="D449" s="1"/>
      <c r="E449" s="1"/>
      <c r="F449" s="1"/>
      <c r="G449" s="1"/>
      <c r="H449" s="1"/>
      <c r="I449" s="11"/>
    </row>
    <row r="450" spans="1:9">
      <c r="A450" s="2"/>
      <c r="B450" s="1"/>
      <c r="C450" s="1"/>
      <c r="D450" s="1"/>
      <c r="E450" s="1"/>
      <c r="F450" s="1"/>
      <c r="G450" s="1"/>
      <c r="H450" s="1"/>
      <c r="I450" s="11"/>
    </row>
    <row r="451" spans="1:9">
      <c r="A451" s="2"/>
      <c r="B451" s="1"/>
      <c r="C451" s="1"/>
      <c r="D451" s="1"/>
      <c r="E451" s="1"/>
      <c r="F451" s="1"/>
      <c r="G451" s="1"/>
      <c r="H451" s="1"/>
      <c r="I451" s="11"/>
    </row>
    <row r="452" spans="1:9">
      <c r="A452" s="2"/>
      <c r="B452" s="1"/>
      <c r="C452" s="1"/>
      <c r="D452" s="1"/>
      <c r="E452" s="1"/>
      <c r="F452" s="1"/>
      <c r="G452" s="1"/>
      <c r="H452" s="1"/>
      <c r="I452" s="11"/>
    </row>
    <row r="453" spans="1:9">
      <c r="A453" s="2"/>
      <c r="B453" s="1"/>
      <c r="C453" s="1"/>
      <c r="D453" s="1"/>
      <c r="E453" s="1"/>
      <c r="F453" s="1"/>
      <c r="G453" s="1"/>
      <c r="H453" s="1"/>
      <c r="I453" s="11"/>
    </row>
    <row r="454" spans="1:9">
      <c r="A454" s="2"/>
      <c r="B454" s="1"/>
      <c r="C454" s="1"/>
      <c r="D454" s="1"/>
      <c r="E454" s="1"/>
      <c r="F454" s="1"/>
      <c r="G454" s="1"/>
      <c r="H454" s="1"/>
      <c r="I454" s="11"/>
    </row>
    <row r="455" spans="1:9">
      <c r="A455" s="2"/>
      <c r="B455" s="1"/>
      <c r="C455" s="1"/>
      <c r="D455" s="1"/>
      <c r="E455" s="1"/>
      <c r="F455" s="1"/>
      <c r="G455" s="1"/>
      <c r="H455" s="1"/>
      <c r="I455" s="11"/>
    </row>
    <row r="456" spans="1:9">
      <c r="A456" s="2"/>
      <c r="B456" s="1"/>
      <c r="C456" s="1"/>
      <c r="D456" s="1"/>
      <c r="E456" s="1"/>
      <c r="F456" s="1"/>
      <c r="G456" s="1"/>
      <c r="H456" s="1"/>
      <c r="I456" s="11"/>
    </row>
    <row r="457" spans="1:9">
      <c r="A457" s="2"/>
      <c r="B457" s="1"/>
      <c r="C457" s="1"/>
      <c r="D457" s="1"/>
      <c r="E457" s="1"/>
      <c r="F457" s="1"/>
      <c r="G457" s="1"/>
      <c r="H457" s="1"/>
      <c r="I457" s="11"/>
    </row>
    <row r="458" spans="1:9">
      <c r="A458" s="2"/>
      <c r="B458" s="1"/>
      <c r="C458" s="1"/>
      <c r="D458" s="1"/>
      <c r="E458" s="1"/>
      <c r="F458" s="1"/>
      <c r="G458" s="1"/>
      <c r="H458" s="1"/>
      <c r="I458" s="11"/>
    </row>
    <row r="459" spans="1:9">
      <c r="A459" s="2"/>
      <c r="B459" s="1"/>
      <c r="C459" s="1"/>
      <c r="D459" s="1"/>
      <c r="E459" s="1"/>
      <c r="F459" s="1"/>
      <c r="G459" s="1"/>
      <c r="H459" s="1"/>
      <c r="I459" s="11"/>
    </row>
    <row r="460" spans="1:9">
      <c r="A460" s="2"/>
      <c r="B460" s="1"/>
      <c r="C460" s="1"/>
      <c r="D460" s="1"/>
      <c r="E460" s="1"/>
      <c r="F460" s="1"/>
      <c r="G460" s="1"/>
      <c r="H460" s="1"/>
      <c r="I460" s="11"/>
    </row>
    <row r="461" spans="1:9">
      <c r="A461" s="2"/>
      <c r="B461" s="1"/>
      <c r="C461" s="1"/>
      <c r="D461" s="1"/>
      <c r="E461" s="1"/>
      <c r="F461" s="1"/>
      <c r="G461" s="1"/>
      <c r="H461" s="1"/>
      <c r="I461" s="11"/>
    </row>
    <row r="462" spans="1:9">
      <c r="A462" s="2"/>
      <c r="B462" s="1"/>
      <c r="C462" s="1"/>
      <c r="D462" s="1"/>
      <c r="E462" s="1"/>
      <c r="F462" s="1"/>
      <c r="G462" s="1"/>
      <c r="H462" s="1"/>
      <c r="I462" s="11"/>
    </row>
    <row r="463" spans="1:9">
      <c r="A463" s="2"/>
      <c r="B463" s="1"/>
      <c r="C463" s="1"/>
      <c r="D463" s="1"/>
      <c r="E463" s="1"/>
      <c r="F463" s="1"/>
      <c r="G463" s="1"/>
      <c r="H463" s="1"/>
      <c r="I463" s="11"/>
    </row>
    <row r="464" spans="1:9">
      <c r="A464" s="2"/>
      <c r="B464" s="1"/>
      <c r="C464" s="1"/>
      <c r="D464" s="1"/>
      <c r="E464" s="1"/>
      <c r="F464" s="1"/>
      <c r="G464" s="1"/>
      <c r="H464" s="1"/>
      <c r="I464" s="11"/>
    </row>
    <row r="465" spans="1:9">
      <c r="A465" s="2"/>
      <c r="B465" s="1"/>
      <c r="C465" s="1"/>
      <c r="D465" s="1"/>
      <c r="E465" s="1"/>
      <c r="F465" s="1"/>
      <c r="G465" s="1"/>
      <c r="H465" s="1"/>
      <c r="I465" s="11"/>
    </row>
    <row r="466" spans="1:9">
      <c r="A466" s="2"/>
      <c r="B466" s="1"/>
      <c r="C466" s="1"/>
      <c r="D466" s="1"/>
      <c r="E466" s="1"/>
      <c r="F466" s="1"/>
      <c r="G466" s="1"/>
      <c r="H466" s="1"/>
      <c r="I466" s="11"/>
    </row>
    <row r="467" spans="1:9">
      <c r="A467" s="2"/>
      <c r="B467" s="1"/>
      <c r="C467" s="1"/>
      <c r="D467" s="1"/>
      <c r="E467" s="1"/>
      <c r="F467" s="1"/>
      <c r="G467" s="1"/>
      <c r="H467" s="1"/>
      <c r="I467" s="11"/>
    </row>
    <row r="468" spans="1:9">
      <c r="A468" s="2"/>
      <c r="B468" s="1"/>
      <c r="C468" s="1"/>
      <c r="D468" s="1"/>
      <c r="E468" s="1"/>
      <c r="F468" s="1"/>
      <c r="G468" s="1"/>
      <c r="H468" s="1"/>
      <c r="I468" s="11"/>
    </row>
    <row r="469" spans="1:9">
      <c r="A469" s="2"/>
      <c r="B469" s="1"/>
      <c r="C469" s="1"/>
      <c r="D469" s="1"/>
      <c r="E469" s="1"/>
      <c r="F469" s="1"/>
      <c r="G469" s="1"/>
      <c r="H469" s="1"/>
      <c r="I469" s="11"/>
    </row>
    <row r="470" spans="1:9">
      <c r="A470" s="2"/>
      <c r="B470" s="1"/>
      <c r="C470" s="1"/>
      <c r="D470" s="1"/>
      <c r="E470" s="1"/>
      <c r="F470" s="1"/>
      <c r="G470" s="1"/>
      <c r="H470" s="1"/>
      <c r="I470" s="11"/>
    </row>
    <row r="471" spans="1:9">
      <c r="A471" s="2"/>
      <c r="B471" s="1"/>
      <c r="C471" s="1"/>
      <c r="D471" s="1"/>
      <c r="E471" s="1"/>
      <c r="F471" s="1"/>
      <c r="G471" s="1"/>
      <c r="H471" s="1"/>
      <c r="I471" s="11"/>
    </row>
    <row r="472" spans="1:9">
      <c r="A472" s="2"/>
      <c r="B472" s="1"/>
      <c r="C472" s="1"/>
      <c r="D472" s="1"/>
      <c r="E472" s="1"/>
      <c r="F472" s="1"/>
      <c r="G472" s="1"/>
      <c r="H472" s="1"/>
      <c r="I472" s="11"/>
    </row>
    <row r="473" spans="1:9">
      <c r="A473" s="2"/>
      <c r="B473" s="1"/>
      <c r="C473" s="1"/>
      <c r="D473" s="1"/>
      <c r="E473" s="1"/>
      <c r="F473" s="1"/>
      <c r="G473" s="1"/>
      <c r="H473" s="1"/>
      <c r="I473" s="11"/>
    </row>
    <row r="474" spans="1:9">
      <c r="A474" s="2"/>
      <c r="B474" s="1"/>
      <c r="C474" s="1"/>
      <c r="D474" s="1"/>
      <c r="E474" s="1"/>
      <c r="F474" s="1"/>
      <c r="G474" s="1"/>
      <c r="H474" s="1"/>
      <c r="I474" s="11"/>
    </row>
    <row r="475" spans="1:9">
      <c r="A475" s="2"/>
      <c r="B475" s="1"/>
      <c r="C475" s="1"/>
      <c r="D475" s="1"/>
      <c r="E475" s="1"/>
      <c r="F475" s="1"/>
      <c r="G475" s="1"/>
      <c r="H475" s="1"/>
      <c r="I475" s="11"/>
    </row>
    <row r="476" spans="1:9">
      <c r="A476" s="2"/>
      <c r="B476" s="1"/>
      <c r="C476" s="1"/>
      <c r="D476" s="1"/>
      <c r="E476" s="1"/>
      <c r="F476" s="1"/>
      <c r="G476" s="1"/>
      <c r="H476" s="1"/>
      <c r="I476" s="11"/>
    </row>
    <row r="477" spans="1:9">
      <c r="A477" s="2"/>
      <c r="B477" s="1"/>
      <c r="C477" s="1"/>
      <c r="D477" s="1"/>
      <c r="E477" s="1"/>
      <c r="F477" s="1"/>
      <c r="G477" s="1"/>
      <c r="H477" s="1"/>
      <c r="I477" s="11"/>
    </row>
    <row r="478" spans="1:9">
      <c r="A478" s="2"/>
      <c r="B478" s="1"/>
      <c r="C478" s="1"/>
      <c r="D478" s="1"/>
      <c r="E478" s="1"/>
      <c r="F478" s="1"/>
      <c r="G478" s="1"/>
      <c r="H478" s="1"/>
      <c r="I478" s="11"/>
    </row>
    <row r="479" spans="1:9">
      <c r="A479" s="2"/>
      <c r="B479" s="1"/>
      <c r="C479" s="1"/>
      <c r="D479" s="1"/>
      <c r="E479" s="1"/>
      <c r="F479" s="1"/>
      <c r="G479" s="1"/>
      <c r="H479" s="1"/>
      <c r="I479" s="11"/>
    </row>
    <row r="480" spans="1:9">
      <c r="A480" s="2"/>
      <c r="B480" s="1"/>
      <c r="C480" s="1"/>
      <c r="D480" s="1"/>
      <c r="E480" s="1"/>
      <c r="F480" s="1"/>
      <c r="G480" s="1"/>
      <c r="H480" s="1"/>
      <c r="I480" s="11"/>
    </row>
    <row r="481" spans="1:9">
      <c r="A481" s="2"/>
      <c r="B481" s="1"/>
      <c r="C481" s="1"/>
      <c r="D481" s="1"/>
      <c r="E481" s="1"/>
      <c r="F481" s="1"/>
      <c r="G481" s="1"/>
      <c r="H481" s="1"/>
      <c r="I481" s="11"/>
    </row>
    <row r="482" spans="1:9">
      <c r="A482" s="2"/>
      <c r="B482" s="1"/>
      <c r="C482" s="1"/>
      <c r="D482" s="1"/>
      <c r="E482" s="1"/>
      <c r="F482" s="1"/>
      <c r="G482" s="1"/>
      <c r="H482" s="1"/>
      <c r="I482" s="11"/>
    </row>
    <row r="483" spans="1:9">
      <c r="A483" s="2"/>
      <c r="B483" s="1"/>
      <c r="C483" s="1"/>
      <c r="D483" s="1"/>
      <c r="E483" s="1"/>
      <c r="F483" s="1"/>
      <c r="G483" s="1"/>
      <c r="H483" s="1"/>
      <c r="I483" s="11"/>
    </row>
    <row r="484" spans="1:9">
      <c r="A484" s="2"/>
      <c r="B484" s="1"/>
      <c r="C484" s="1"/>
      <c r="D484" s="1"/>
      <c r="E484" s="1"/>
      <c r="F484" s="1"/>
      <c r="G484" s="1"/>
      <c r="H484" s="1"/>
      <c r="I484" s="11"/>
    </row>
    <row r="485" spans="1:9">
      <c r="A485" s="2"/>
      <c r="B485" s="1"/>
      <c r="C485" s="1"/>
      <c r="D485" s="1"/>
      <c r="E485" s="1"/>
      <c r="F485" s="1"/>
      <c r="G485" s="1"/>
      <c r="H485" s="1"/>
      <c r="I485" s="11"/>
    </row>
    <row r="486" spans="1:9">
      <c r="A486" s="2"/>
      <c r="B486" s="1"/>
      <c r="C486" s="1"/>
      <c r="D486" s="1"/>
      <c r="E486" s="1"/>
      <c r="F486" s="1"/>
      <c r="G486" s="1"/>
      <c r="H486" s="1"/>
      <c r="I486" s="11"/>
    </row>
    <row r="487" spans="1:9">
      <c r="A487" s="2"/>
      <c r="B487" s="1"/>
      <c r="C487" s="1"/>
      <c r="D487" s="1"/>
      <c r="E487" s="1"/>
      <c r="F487" s="1"/>
      <c r="G487" s="1"/>
      <c r="H487" s="1"/>
      <c r="I487" s="11"/>
    </row>
    <row r="488" spans="1:9">
      <c r="A488" s="2"/>
      <c r="B488" s="1"/>
      <c r="C488" s="1"/>
      <c r="D488" s="1"/>
      <c r="E488" s="1"/>
      <c r="F488" s="1"/>
      <c r="G488" s="1"/>
      <c r="H488" s="1"/>
      <c r="I488" s="11"/>
    </row>
    <row r="489" spans="1:9">
      <c r="A489" s="2"/>
      <c r="B489" s="1"/>
      <c r="C489" s="1"/>
      <c r="D489" s="1"/>
      <c r="E489" s="1"/>
      <c r="F489" s="1"/>
      <c r="G489" s="1"/>
      <c r="H489" s="1"/>
      <c r="I489" s="11"/>
    </row>
    <row r="490" spans="1:9">
      <c r="A490" s="2"/>
      <c r="B490" s="1"/>
      <c r="C490" s="1"/>
      <c r="D490" s="1"/>
      <c r="E490" s="1"/>
      <c r="F490" s="1"/>
      <c r="G490" s="1"/>
      <c r="H490" s="1"/>
      <c r="I490" s="11"/>
    </row>
    <row r="491" spans="1:9">
      <c r="A491" s="2"/>
      <c r="B491" s="1"/>
      <c r="C491" s="1"/>
      <c r="D491" s="1"/>
      <c r="E491" s="1"/>
      <c r="F491" s="1"/>
      <c r="G491" s="1"/>
      <c r="H491" s="1"/>
      <c r="I491" s="11"/>
    </row>
    <row r="492" spans="1:9">
      <c r="A492" s="2"/>
      <c r="B492" s="1"/>
      <c r="C492" s="1"/>
      <c r="D492" s="1"/>
      <c r="E492" s="1"/>
      <c r="F492" s="1"/>
      <c r="G492" s="1"/>
      <c r="H492" s="1"/>
      <c r="I492" s="11"/>
    </row>
    <row r="493" spans="1:9">
      <c r="A493" s="2"/>
      <c r="B493" s="1"/>
      <c r="C493" s="1"/>
      <c r="D493" s="1"/>
      <c r="E493" s="1"/>
      <c r="F493" s="1"/>
      <c r="G493" s="1"/>
      <c r="H493" s="1"/>
      <c r="I493" s="11"/>
    </row>
    <row r="494" spans="1:9">
      <c r="A494" s="2"/>
      <c r="B494" s="1"/>
      <c r="C494" s="1"/>
      <c r="D494" s="1"/>
      <c r="E494" s="1"/>
      <c r="F494" s="1"/>
      <c r="G494" s="1"/>
      <c r="H494" s="1"/>
      <c r="I494" s="11"/>
    </row>
    <row r="495" spans="1:9">
      <c r="A495" s="2"/>
      <c r="B495" s="1"/>
      <c r="C495" s="1"/>
      <c r="D495" s="1"/>
      <c r="E495" s="1"/>
      <c r="F495" s="1"/>
      <c r="G495" s="1"/>
      <c r="H495" s="1"/>
      <c r="I495" s="11"/>
    </row>
    <row r="496" spans="1:9">
      <c r="A496" s="2"/>
      <c r="B496" s="1"/>
      <c r="C496" s="1"/>
      <c r="D496" s="1"/>
      <c r="E496" s="1"/>
      <c r="F496" s="1"/>
      <c r="G496" s="1"/>
      <c r="H496" s="1"/>
      <c r="I496" s="11"/>
    </row>
    <row r="497" spans="1:9">
      <c r="A497" s="2"/>
      <c r="B497" s="1"/>
      <c r="C497" s="1"/>
      <c r="D497" s="1"/>
      <c r="E497" s="1"/>
      <c r="F497" s="1"/>
      <c r="G497" s="1"/>
      <c r="H497" s="1"/>
      <c r="I497" s="11"/>
    </row>
    <row r="498" spans="1:9">
      <c r="A498" s="2"/>
      <c r="B498" s="1"/>
      <c r="C498" s="1"/>
      <c r="D498" s="1"/>
      <c r="E498" s="1"/>
      <c r="F498" s="1"/>
      <c r="G498" s="1"/>
      <c r="H498" s="1"/>
      <c r="I498" s="11"/>
    </row>
    <row r="499" spans="1:9">
      <c r="A499" s="2"/>
      <c r="B499" s="1"/>
      <c r="C499" s="1"/>
      <c r="D499" s="1"/>
      <c r="E499" s="1"/>
      <c r="F499" s="1"/>
      <c r="G499" s="1"/>
      <c r="H499" s="1"/>
      <c r="I499" s="11"/>
    </row>
    <row r="500" spans="1:9">
      <c r="A500" s="2"/>
      <c r="B500" s="1"/>
      <c r="C500" s="1"/>
      <c r="D500" s="1"/>
      <c r="E500" s="1"/>
      <c r="F500" s="1"/>
      <c r="G500" s="1"/>
      <c r="H500" s="1"/>
      <c r="I500" s="11"/>
    </row>
    <row r="501" spans="1:9">
      <c r="A501" s="2"/>
      <c r="B501" s="1"/>
      <c r="C501" s="1"/>
      <c r="D501" s="1"/>
      <c r="E501" s="1"/>
      <c r="F501" s="1"/>
      <c r="G501" s="1"/>
      <c r="H501" s="1"/>
      <c r="I501" s="11"/>
    </row>
    <row r="502" spans="1:9">
      <c r="A502" s="2"/>
      <c r="B502" s="1"/>
      <c r="C502" s="1"/>
      <c r="D502" s="1"/>
      <c r="E502" s="1"/>
      <c r="F502" s="1"/>
      <c r="G502" s="1"/>
      <c r="H502" s="1"/>
      <c r="I502" s="11"/>
    </row>
    <row r="503" spans="1:9">
      <c r="A503" s="2"/>
      <c r="B503" s="1"/>
      <c r="C503" s="1"/>
      <c r="D503" s="1"/>
      <c r="E503" s="1"/>
      <c r="F503" s="1"/>
      <c r="G503" s="1"/>
      <c r="H503" s="1"/>
      <c r="I503" s="11"/>
    </row>
    <row r="504" spans="1:9">
      <c r="A504" s="2"/>
      <c r="B504" s="1"/>
      <c r="C504" s="1"/>
      <c r="D504" s="1"/>
      <c r="E504" s="1"/>
      <c r="F504" s="1"/>
      <c r="G504" s="1"/>
      <c r="H504" s="1"/>
      <c r="I504" s="11"/>
    </row>
    <row r="505" spans="1:9">
      <c r="A505" s="2"/>
      <c r="B505" s="1"/>
      <c r="C505" s="1"/>
      <c r="D505" s="1"/>
      <c r="E505" s="1"/>
      <c r="F505" s="1"/>
      <c r="G505" s="1"/>
      <c r="H505" s="1"/>
      <c r="I505" s="11"/>
    </row>
    <row r="506" spans="1:9">
      <c r="A506" s="2"/>
      <c r="B506" s="1"/>
      <c r="C506" s="1"/>
      <c r="D506" s="1"/>
      <c r="E506" s="1"/>
      <c r="F506" s="1"/>
      <c r="G506" s="1"/>
      <c r="H506" s="1"/>
      <c r="I506" s="11"/>
    </row>
    <row r="507" spans="1:9">
      <c r="A507" s="2"/>
      <c r="B507" s="1"/>
      <c r="C507" s="1"/>
      <c r="D507" s="1"/>
      <c r="E507" s="1"/>
      <c r="F507" s="1"/>
      <c r="G507" s="1"/>
      <c r="H507" s="1"/>
      <c r="I507" s="11"/>
    </row>
    <row r="508" spans="1:9">
      <c r="A508" s="2"/>
      <c r="B508" s="1"/>
      <c r="C508" s="1"/>
      <c r="D508" s="1"/>
      <c r="E508" s="1"/>
      <c r="F508" s="1"/>
      <c r="G508" s="1"/>
      <c r="H508" s="1"/>
      <c r="I508" s="11"/>
    </row>
    <row r="509" spans="1:9">
      <c r="A509" s="2"/>
      <c r="B509" s="1"/>
      <c r="C509" s="1"/>
      <c r="D509" s="1"/>
      <c r="E509" s="1"/>
      <c r="F509" s="1"/>
      <c r="G509" s="1"/>
      <c r="H509" s="1"/>
      <c r="I509" s="11"/>
    </row>
    <row r="510" spans="1:9">
      <c r="A510" s="2"/>
      <c r="B510" s="1"/>
      <c r="C510" s="1"/>
      <c r="D510" s="1"/>
      <c r="E510" s="1"/>
      <c r="F510" s="1"/>
      <c r="G510" s="1"/>
      <c r="H510" s="1"/>
      <c r="I510" s="11"/>
    </row>
    <row r="511" spans="1:9">
      <c r="A511" s="2"/>
      <c r="B511" s="1"/>
      <c r="C511" s="1"/>
      <c r="D511" s="1"/>
      <c r="E511" s="1"/>
      <c r="F511" s="1"/>
      <c r="G511" s="1"/>
      <c r="H511" s="1"/>
      <c r="I511" s="11"/>
    </row>
    <row r="512" spans="1:9">
      <c r="A512" s="2"/>
      <c r="B512" s="1"/>
      <c r="C512" s="1"/>
      <c r="D512" s="1"/>
      <c r="E512" s="1"/>
      <c r="F512" s="1"/>
      <c r="G512" s="1"/>
      <c r="H512" s="1"/>
      <c r="I512" s="11"/>
    </row>
    <row r="513" spans="1:9">
      <c r="A513" s="2"/>
      <c r="B513" s="1"/>
      <c r="C513" s="1"/>
      <c r="D513" s="1"/>
      <c r="E513" s="1"/>
      <c r="F513" s="1"/>
      <c r="G513" s="1"/>
      <c r="H513" s="1"/>
      <c r="I513" s="11"/>
    </row>
    <row r="514" spans="1:9">
      <c r="A514" s="2"/>
      <c r="B514" s="1"/>
      <c r="C514" s="1"/>
      <c r="D514" s="1"/>
      <c r="E514" s="1"/>
      <c r="F514" s="1"/>
      <c r="G514" s="1"/>
      <c r="H514" s="1"/>
      <c r="I514" s="11"/>
    </row>
    <row r="515" spans="1:9">
      <c r="A515" s="2"/>
      <c r="B515" s="1"/>
      <c r="C515" s="1"/>
      <c r="D515" s="1"/>
      <c r="E515" s="1"/>
      <c r="F515" s="1"/>
      <c r="G515" s="1"/>
      <c r="H515" s="1"/>
      <c r="I515" s="11"/>
    </row>
    <row r="516" spans="1:9">
      <c r="A516" s="2"/>
      <c r="B516" s="1"/>
      <c r="C516" s="1"/>
      <c r="D516" s="1"/>
      <c r="E516" s="1"/>
      <c r="F516" s="1"/>
      <c r="G516" s="1"/>
      <c r="H516" s="1"/>
      <c r="I516" s="11"/>
    </row>
    <row r="517" spans="1:9">
      <c r="A517" s="2"/>
      <c r="B517" s="1"/>
      <c r="C517" s="1"/>
      <c r="D517" s="1"/>
      <c r="E517" s="1"/>
      <c r="F517" s="1"/>
      <c r="G517" s="1"/>
      <c r="H517" s="1"/>
      <c r="I517" s="11"/>
    </row>
    <row r="518" spans="1:9">
      <c r="A518" s="2"/>
      <c r="B518" s="1"/>
      <c r="C518" s="1"/>
      <c r="D518" s="1"/>
      <c r="E518" s="1"/>
      <c r="F518" s="1"/>
      <c r="G518" s="1"/>
      <c r="H518" s="1"/>
      <c r="I518" s="11"/>
    </row>
    <row r="519" spans="1:9">
      <c r="A519" s="2"/>
      <c r="B519" s="1"/>
      <c r="C519" s="1"/>
      <c r="D519" s="1"/>
      <c r="E519" s="1"/>
      <c r="F519" s="1"/>
      <c r="G519" s="1"/>
      <c r="H519" s="1"/>
      <c r="I519" s="11"/>
    </row>
    <row r="520" spans="1:9">
      <c r="A520" s="2"/>
      <c r="B520" s="1"/>
      <c r="C520" s="1"/>
      <c r="D520" s="1"/>
      <c r="E520" s="1"/>
      <c r="F520" s="1"/>
      <c r="G520" s="1"/>
      <c r="H520" s="1"/>
      <c r="I520" s="11"/>
    </row>
    <row r="521" spans="1:9">
      <c r="A521" s="2"/>
      <c r="B521" s="1"/>
      <c r="C521" s="1"/>
      <c r="D521" s="1"/>
      <c r="E521" s="1"/>
      <c r="F521" s="1"/>
      <c r="G521" s="1"/>
      <c r="H521" s="1"/>
      <c r="I521" s="11"/>
    </row>
    <row r="522" spans="1:9">
      <c r="A522" s="2"/>
      <c r="B522" s="1"/>
      <c r="C522" s="1"/>
      <c r="D522" s="1"/>
      <c r="E522" s="1"/>
      <c r="F522" s="1"/>
      <c r="G522" s="1"/>
      <c r="H522" s="1"/>
      <c r="I522" s="11"/>
    </row>
    <row r="523" spans="1:9">
      <c r="A523" s="2"/>
      <c r="B523" s="1"/>
      <c r="C523" s="1"/>
      <c r="D523" s="1"/>
      <c r="E523" s="1"/>
      <c r="F523" s="1"/>
      <c r="G523" s="1"/>
      <c r="H523" s="1"/>
      <c r="I523" s="11"/>
    </row>
    <row r="524" spans="1:9">
      <c r="A524" s="2"/>
      <c r="B524" s="1"/>
      <c r="C524" s="1"/>
      <c r="D524" s="1"/>
      <c r="E524" s="1"/>
      <c r="F524" s="1"/>
      <c r="G524" s="1"/>
      <c r="H524" s="1"/>
      <c r="I524" s="11"/>
    </row>
    <row r="525" spans="1:9">
      <c r="A525" s="2"/>
      <c r="B525" s="1"/>
      <c r="C525" s="1"/>
      <c r="D525" s="1"/>
      <c r="E525" s="1"/>
      <c r="F525" s="1"/>
      <c r="G525" s="1"/>
      <c r="H525" s="1"/>
      <c r="I525" s="11"/>
    </row>
    <row r="526" spans="1:9">
      <c r="A526" s="2"/>
      <c r="B526" s="1"/>
      <c r="C526" s="1"/>
      <c r="D526" s="1"/>
      <c r="E526" s="1"/>
      <c r="F526" s="1"/>
      <c r="G526" s="1"/>
      <c r="H526" s="1"/>
      <c r="I526" s="11"/>
    </row>
    <row r="527" spans="1:9">
      <c r="A527" s="2"/>
      <c r="B527" s="1"/>
      <c r="C527" s="1"/>
      <c r="D527" s="1"/>
      <c r="E527" s="1"/>
      <c r="F527" s="1"/>
      <c r="G527" s="1"/>
      <c r="H527" s="1"/>
      <c r="I527" s="11"/>
    </row>
    <row r="528" spans="1:9">
      <c r="A528" s="2"/>
      <c r="B528" s="1"/>
      <c r="C528" s="1"/>
      <c r="D528" s="1"/>
      <c r="E528" s="1"/>
      <c r="F528" s="1"/>
      <c r="G528" s="1"/>
      <c r="H528" s="1"/>
      <c r="I528" s="11"/>
    </row>
    <row r="529" spans="1:9">
      <c r="A529" s="2"/>
      <c r="B529" s="1"/>
      <c r="C529" s="1"/>
      <c r="D529" s="1"/>
      <c r="E529" s="1"/>
      <c r="F529" s="1"/>
      <c r="G529" s="1"/>
      <c r="H529" s="1"/>
      <c r="I529" s="11"/>
    </row>
    <row r="530" spans="1:9">
      <c r="A530" s="2"/>
      <c r="B530" s="1"/>
      <c r="C530" s="1"/>
      <c r="D530" s="1"/>
      <c r="E530" s="1"/>
      <c r="F530" s="1"/>
      <c r="G530" s="1"/>
      <c r="H530" s="1"/>
      <c r="I530" s="11"/>
    </row>
    <row r="531" spans="1:9">
      <c r="A531" s="2"/>
      <c r="B531" s="1"/>
      <c r="C531" s="1"/>
      <c r="D531" s="1"/>
      <c r="E531" s="1"/>
      <c r="F531" s="1"/>
      <c r="G531" s="1"/>
      <c r="H531" s="1"/>
      <c r="I531" s="11"/>
    </row>
    <row r="532" spans="1:9">
      <c r="A532" s="2"/>
      <c r="B532" s="1"/>
      <c r="C532" s="1"/>
      <c r="D532" s="1"/>
      <c r="E532" s="1"/>
      <c r="F532" s="1"/>
      <c r="G532" s="1"/>
      <c r="H532" s="1"/>
      <c r="I532" s="11"/>
    </row>
    <row r="533" spans="1:9">
      <c r="A533" s="2"/>
      <c r="B533" s="1"/>
      <c r="C533" s="1"/>
      <c r="D533" s="1"/>
      <c r="E533" s="1"/>
      <c r="F533" s="1"/>
      <c r="G533" s="1"/>
      <c r="H533" s="1"/>
      <c r="I533" s="11"/>
    </row>
    <row r="534" spans="1:9">
      <c r="A534" s="2"/>
      <c r="B534" s="1"/>
      <c r="C534" s="1"/>
      <c r="D534" s="1"/>
      <c r="E534" s="1"/>
      <c r="F534" s="1"/>
      <c r="G534" s="1"/>
      <c r="H534" s="1"/>
      <c r="I534" s="11"/>
    </row>
    <row r="535" spans="1:9">
      <c r="A535" s="2"/>
      <c r="B535" s="1"/>
      <c r="C535" s="1"/>
      <c r="D535" s="1"/>
      <c r="E535" s="1"/>
      <c r="F535" s="1"/>
      <c r="G535" s="1"/>
      <c r="H535" s="1"/>
      <c r="I535" s="11"/>
    </row>
    <row r="536" spans="1:9">
      <c r="A536" s="2"/>
      <c r="B536" s="1"/>
      <c r="C536" s="1"/>
      <c r="D536" s="1"/>
      <c r="E536" s="1"/>
      <c r="F536" s="1"/>
      <c r="G536" s="1"/>
      <c r="H536" s="1"/>
      <c r="I536" s="11"/>
    </row>
    <row r="537" spans="1:9">
      <c r="A537" s="2"/>
      <c r="B537" s="1"/>
      <c r="C537" s="1"/>
      <c r="D537" s="1"/>
      <c r="E537" s="1"/>
      <c r="F537" s="1"/>
      <c r="G537" s="1"/>
      <c r="H537" s="1"/>
      <c r="I537" s="11"/>
    </row>
    <row r="538" spans="1:9">
      <c r="A538" s="2"/>
      <c r="B538" s="1"/>
      <c r="C538" s="1"/>
      <c r="D538" s="1"/>
      <c r="E538" s="1"/>
      <c r="F538" s="1"/>
      <c r="G538" s="1"/>
      <c r="H538" s="1"/>
      <c r="I538" s="11"/>
    </row>
    <row r="539" spans="1:9">
      <c r="A539" s="2"/>
      <c r="B539" s="1"/>
      <c r="C539" s="1"/>
      <c r="D539" s="1"/>
      <c r="E539" s="1"/>
      <c r="F539" s="1"/>
      <c r="G539" s="1"/>
      <c r="H539" s="1"/>
      <c r="I539" s="11"/>
    </row>
    <row r="540" spans="1:9">
      <c r="A540" s="2"/>
      <c r="B540" s="1"/>
      <c r="C540" s="1"/>
      <c r="D540" s="1"/>
      <c r="E540" s="1"/>
      <c r="F540" s="1"/>
      <c r="G540" s="1"/>
      <c r="H540" s="1"/>
      <c r="I540" s="11"/>
    </row>
    <row r="541" spans="1:9">
      <c r="A541" s="2"/>
      <c r="B541" s="1"/>
      <c r="C541" s="1"/>
      <c r="D541" s="1"/>
      <c r="E541" s="1"/>
      <c r="F541" s="1"/>
      <c r="G541" s="1"/>
      <c r="H541" s="1"/>
      <c r="I541" s="11"/>
    </row>
    <row r="542" spans="1:9">
      <c r="A542" s="2"/>
      <c r="B542" s="1"/>
      <c r="C542" s="1"/>
      <c r="D542" s="1"/>
      <c r="E542" s="1"/>
      <c r="F542" s="1"/>
      <c r="G542" s="1"/>
      <c r="H542" s="1"/>
      <c r="I542" s="11"/>
    </row>
    <row r="543" spans="1:9">
      <c r="A543" s="2"/>
      <c r="B543" s="1"/>
      <c r="C543" s="1"/>
      <c r="D543" s="1"/>
      <c r="E543" s="1"/>
      <c r="F543" s="1"/>
      <c r="G543" s="1"/>
      <c r="H543" s="1"/>
      <c r="I543" s="11"/>
    </row>
    <row r="544" spans="1:9">
      <c r="A544" s="2"/>
      <c r="B544" s="1"/>
      <c r="C544" s="1"/>
      <c r="D544" s="1"/>
      <c r="E544" s="1"/>
      <c r="F544" s="1"/>
      <c r="G544" s="1"/>
      <c r="H544" s="1"/>
      <c r="I544" s="11"/>
    </row>
    <row r="545" spans="1:9">
      <c r="A545" s="2"/>
      <c r="B545" s="1"/>
      <c r="C545" s="1"/>
      <c r="D545" s="1"/>
      <c r="E545" s="1"/>
      <c r="F545" s="1"/>
      <c r="G545" s="1"/>
      <c r="H545" s="1"/>
      <c r="I545" s="11"/>
    </row>
    <row r="546" spans="1:9">
      <c r="A546" s="2"/>
      <c r="B546" s="1"/>
      <c r="C546" s="1"/>
      <c r="D546" s="1"/>
      <c r="E546" s="1"/>
      <c r="F546" s="1"/>
      <c r="G546" s="1"/>
      <c r="H546" s="1"/>
      <c r="I546" s="11"/>
    </row>
    <row r="547" spans="1:9">
      <c r="A547" s="2"/>
      <c r="B547" s="1"/>
      <c r="C547" s="1"/>
      <c r="D547" s="1"/>
      <c r="E547" s="1"/>
      <c r="F547" s="1"/>
      <c r="G547" s="1"/>
      <c r="H547" s="1"/>
      <c r="I547" s="11"/>
    </row>
    <row r="548" spans="1:9">
      <c r="A548" s="2"/>
      <c r="B548" s="1"/>
      <c r="C548" s="1"/>
      <c r="D548" s="1"/>
      <c r="E548" s="1"/>
      <c r="F548" s="1"/>
      <c r="G548" s="1"/>
      <c r="H548" s="1"/>
      <c r="I548" s="11"/>
    </row>
    <row r="549" spans="1:9">
      <c r="A549" s="2"/>
      <c r="B549" s="1"/>
      <c r="C549" s="1"/>
      <c r="D549" s="1"/>
      <c r="E549" s="1"/>
      <c r="F549" s="1"/>
      <c r="G549" s="1"/>
      <c r="H549" s="1"/>
      <c r="I549" s="11"/>
    </row>
    <row r="550" spans="1:9">
      <c r="A550" s="2"/>
      <c r="B550" s="1"/>
      <c r="C550" s="1"/>
      <c r="D550" s="1"/>
      <c r="E550" s="1"/>
      <c r="F550" s="1"/>
      <c r="G550" s="1"/>
      <c r="H550" s="1"/>
      <c r="I550" s="11"/>
    </row>
    <row r="551" spans="1:9">
      <c r="A551" s="2"/>
      <c r="B551" s="1"/>
      <c r="C551" s="1"/>
      <c r="D551" s="1"/>
      <c r="E551" s="1"/>
      <c r="F551" s="1"/>
      <c r="G551" s="1"/>
      <c r="H551" s="1"/>
      <c r="I551" s="11"/>
    </row>
    <row r="552" spans="1:9">
      <c r="A552" s="2"/>
      <c r="B552" s="1"/>
      <c r="C552" s="1"/>
      <c r="D552" s="1"/>
      <c r="E552" s="1"/>
      <c r="F552" s="1"/>
      <c r="G552" s="1"/>
      <c r="H552" s="1"/>
      <c r="I552" s="11"/>
    </row>
    <row r="553" spans="1:9">
      <c r="A553" s="2"/>
      <c r="B553" s="1"/>
      <c r="C553" s="1"/>
      <c r="D553" s="1"/>
      <c r="E553" s="1"/>
      <c r="F553" s="1"/>
      <c r="G553" s="1"/>
      <c r="H553" s="1"/>
      <c r="I553" s="11"/>
    </row>
    <row r="554" spans="1:9">
      <c r="A554" s="2"/>
      <c r="B554" s="1"/>
      <c r="C554" s="1"/>
      <c r="D554" s="1"/>
      <c r="E554" s="1"/>
      <c r="F554" s="1"/>
      <c r="G554" s="1"/>
      <c r="H554" s="1"/>
      <c r="I554" s="11"/>
    </row>
    <row r="555" spans="1:9">
      <c r="A555" s="2"/>
      <c r="B555" s="1"/>
      <c r="C555" s="1"/>
      <c r="D555" s="1"/>
      <c r="E555" s="1"/>
      <c r="F555" s="1"/>
      <c r="G555" s="1"/>
      <c r="H555" s="1"/>
      <c r="I555" s="11"/>
    </row>
    <row r="556" spans="1:9">
      <c r="A556" s="2"/>
      <c r="B556" s="1"/>
      <c r="C556" s="1"/>
      <c r="D556" s="1"/>
      <c r="E556" s="1"/>
      <c r="F556" s="1"/>
      <c r="G556" s="1"/>
      <c r="H556" s="1"/>
      <c r="I556" s="11"/>
    </row>
    <row r="557" spans="1:9">
      <c r="A557" s="2"/>
      <c r="B557" s="1"/>
      <c r="C557" s="1"/>
      <c r="D557" s="1"/>
      <c r="E557" s="1"/>
      <c r="F557" s="1"/>
      <c r="G557" s="1"/>
      <c r="H557" s="1"/>
      <c r="I557" s="11"/>
    </row>
    <row r="558" spans="1:9">
      <c r="A558" s="2"/>
      <c r="B558" s="1"/>
      <c r="C558" s="1"/>
      <c r="D558" s="1"/>
      <c r="E558" s="1"/>
      <c r="F558" s="1"/>
      <c r="G558" s="1"/>
      <c r="H558" s="1"/>
      <c r="I558" s="11"/>
    </row>
    <row r="559" spans="1:9">
      <c r="A559" s="2"/>
      <c r="B559" s="1"/>
      <c r="C559" s="1"/>
      <c r="D559" s="1"/>
      <c r="E559" s="1"/>
      <c r="F559" s="1"/>
      <c r="G559" s="1"/>
      <c r="H559" s="1"/>
      <c r="I559" s="11"/>
    </row>
    <row r="560" spans="1:9">
      <c r="A560" s="2"/>
      <c r="B560" s="1"/>
      <c r="C560" s="1"/>
      <c r="D560" s="1"/>
      <c r="E560" s="1"/>
      <c r="F560" s="1"/>
      <c r="G560" s="1"/>
      <c r="H560" s="1"/>
      <c r="I560" s="11"/>
    </row>
    <row r="561" spans="1:9">
      <c r="A561" s="2"/>
      <c r="B561" s="1"/>
      <c r="C561" s="1"/>
      <c r="D561" s="1"/>
      <c r="E561" s="1"/>
      <c r="F561" s="1"/>
      <c r="G561" s="1"/>
      <c r="H561" s="1"/>
      <c r="I561" s="11"/>
    </row>
    <row r="562" spans="1:9">
      <c r="A562" s="2"/>
      <c r="B562" s="1"/>
      <c r="C562" s="1"/>
      <c r="D562" s="1"/>
      <c r="E562" s="1"/>
      <c r="F562" s="1"/>
      <c r="G562" s="1"/>
      <c r="H562" s="1"/>
      <c r="I562" s="11"/>
    </row>
    <row r="563" spans="1:9">
      <c r="A563" s="2"/>
      <c r="B563" s="1"/>
      <c r="C563" s="1"/>
      <c r="D563" s="1"/>
      <c r="E563" s="1"/>
      <c r="F563" s="1"/>
      <c r="G563" s="1"/>
      <c r="H563" s="1"/>
      <c r="I563" s="11"/>
    </row>
    <row r="564" spans="1:9">
      <c r="A564" s="2"/>
      <c r="B564" s="1"/>
      <c r="C564" s="1"/>
      <c r="D564" s="1"/>
      <c r="E564" s="1"/>
      <c r="F564" s="1"/>
      <c r="G564" s="1"/>
      <c r="H564" s="1"/>
      <c r="I564" s="11"/>
    </row>
    <row r="565" spans="1:9">
      <c r="A565" s="2"/>
      <c r="B565" s="1"/>
      <c r="C565" s="1"/>
      <c r="D565" s="1"/>
      <c r="E565" s="1"/>
      <c r="F565" s="1"/>
      <c r="G565" s="1"/>
      <c r="H565" s="1"/>
      <c r="I565" s="11"/>
    </row>
    <row r="566" spans="1:9">
      <c r="A566" s="2"/>
      <c r="B566" s="1"/>
      <c r="C566" s="1"/>
      <c r="D566" s="1"/>
      <c r="E566" s="1"/>
      <c r="F566" s="1"/>
      <c r="G566" s="1"/>
      <c r="H566" s="1"/>
      <c r="I566" s="11"/>
    </row>
    <row r="567" spans="1:9">
      <c r="A567" s="2"/>
      <c r="B567" s="1"/>
      <c r="C567" s="1"/>
      <c r="D567" s="1"/>
      <c r="E567" s="1"/>
      <c r="F567" s="1"/>
      <c r="G567" s="1"/>
      <c r="H567" s="1"/>
      <c r="I567" s="11"/>
    </row>
    <row r="568" spans="1:9">
      <c r="A568" s="2"/>
      <c r="B568" s="1"/>
      <c r="C568" s="1"/>
      <c r="D568" s="1"/>
      <c r="E568" s="1"/>
      <c r="F568" s="1"/>
      <c r="G568" s="1"/>
      <c r="H568" s="1"/>
      <c r="I568" s="11"/>
    </row>
    <row r="569" spans="1:9">
      <c r="A569" s="2"/>
      <c r="B569" s="1"/>
      <c r="C569" s="1"/>
      <c r="D569" s="1"/>
      <c r="E569" s="1"/>
      <c r="F569" s="1"/>
      <c r="G569" s="1"/>
      <c r="H569" s="1"/>
      <c r="I569" s="11"/>
    </row>
    <row r="570" spans="1:9">
      <c r="A570" s="2"/>
      <c r="B570" s="1"/>
      <c r="C570" s="1"/>
      <c r="D570" s="1"/>
      <c r="E570" s="1"/>
      <c r="F570" s="1"/>
      <c r="G570" s="1"/>
      <c r="H570" s="1"/>
      <c r="I570" s="11"/>
    </row>
    <row r="571" spans="1:9">
      <c r="A571" s="2"/>
      <c r="B571" s="1"/>
      <c r="C571" s="1"/>
      <c r="D571" s="1"/>
      <c r="E571" s="1"/>
      <c r="F571" s="1"/>
      <c r="G571" s="1"/>
      <c r="H571" s="1"/>
      <c r="I571" s="11"/>
    </row>
    <row r="572" spans="1:9">
      <c r="A572" s="2"/>
      <c r="B572" s="1"/>
      <c r="C572" s="1"/>
      <c r="D572" s="1"/>
      <c r="E572" s="1"/>
      <c r="F572" s="1"/>
      <c r="G572" s="1"/>
      <c r="H572" s="1"/>
      <c r="I572" s="11"/>
    </row>
    <row r="573" spans="1:9">
      <c r="A573" s="2"/>
      <c r="B573" s="1"/>
      <c r="C573" s="1"/>
      <c r="D573" s="1"/>
      <c r="E573" s="1"/>
      <c r="F573" s="1"/>
      <c r="G573" s="1"/>
      <c r="H573" s="1"/>
      <c r="I573" s="11"/>
    </row>
    <row r="574" spans="1:9">
      <c r="A574" s="2"/>
      <c r="B574" s="1"/>
      <c r="C574" s="1"/>
      <c r="D574" s="1"/>
      <c r="E574" s="1"/>
      <c r="F574" s="1"/>
      <c r="G574" s="1"/>
      <c r="H574" s="1"/>
      <c r="I574" s="11"/>
    </row>
    <row r="575" spans="1:9">
      <c r="A575" s="2"/>
      <c r="B575" s="1"/>
      <c r="C575" s="1"/>
      <c r="D575" s="1"/>
      <c r="E575" s="1"/>
      <c r="F575" s="1"/>
      <c r="G575" s="1"/>
      <c r="H575" s="1"/>
      <c r="I575" s="11"/>
    </row>
    <row r="576" spans="1:9">
      <c r="A576" s="2"/>
      <c r="B576" s="1"/>
      <c r="C576" s="1"/>
      <c r="D576" s="1"/>
      <c r="E576" s="1"/>
      <c r="F576" s="1"/>
      <c r="G576" s="1"/>
      <c r="H576" s="1"/>
      <c r="I576" s="11"/>
    </row>
    <row r="577" spans="1:9">
      <c r="A577" s="2"/>
      <c r="B577" s="1"/>
      <c r="C577" s="1"/>
      <c r="D577" s="1"/>
      <c r="E577" s="1"/>
      <c r="F577" s="1"/>
      <c r="G577" s="1"/>
      <c r="H577" s="1"/>
      <c r="I577" s="11"/>
    </row>
    <row r="578" spans="1:9">
      <c r="A578" s="2"/>
      <c r="B578" s="1"/>
      <c r="C578" s="1"/>
      <c r="D578" s="1"/>
      <c r="E578" s="1"/>
      <c r="F578" s="1"/>
      <c r="G578" s="1"/>
      <c r="H578" s="1"/>
      <c r="I578" s="11"/>
    </row>
    <row r="579" spans="1:9">
      <c r="A579" s="2"/>
      <c r="B579" s="1"/>
      <c r="C579" s="1"/>
      <c r="D579" s="1"/>
      <c r="E579" s="1"/>
      <c r="F579" s="1"/>
      <c r="G579" s="1"/>
      <c r="H579" s="1"/>
      <c r="I579" s="11"/>
    </row>
    <row r="580" spans="1:9">
      <c r="A580" s="2"/>
      <c r="B580" s="1"/>
      <c r="C580" s="1"/>
      <c r="D580" s="1"/>
      <c r="E580" s="1"/>
      <c r="F580" s="1"/>
      <c r="G580" s="1"/>
      <c r="H580" s="1"/>
      <c r="I580" s="11"/>
    </row>
    <row r="581" spans="1:9">
      <c r="A581" s="2"/>
      <c r="B581" s="1"/>
      <c r="C581" s="1"/>
      <c r="D581" s="1"/>
      <c r="E581" s="1"/>
      <c r="F581" s="1"/>
      <c r="G581" s="1"/>
      <c r="H581" s="1"/>
      <c r="I581" s="11"/>
    </row>
    <row r="582" spans="1:9">
      <c r="A582" s="2"/>
      <c r="B582" s="1"/>
      <c r="C582" s="1"/>
      <c r="D582" s="1"/>
      <c r="E582" s="1"/>
      <c r="F582" s="1"/>
      <c r="G582" s="1"/>
      <c r="H582" s="1"/>
      <c r="I582" s="11"/>
    </row>
    <row r="583" spans="1:9">
      <c r="A583" s="2"/>
      <c r="B583" s="1"/>
      <c r="C583" s="1"/>
      <c r="D583" s="1"/>
      <c r="E583" s="1"/>
      <c r="F583" s="1"/>
      <c r="G583" s="1"/>
      <c r="H583" s="1"/>
      <c r="I583" s="11"/>
    </row>
    <row r="584" spans="1:9">
      <c r="A584" s="2"/>
      <c r="B584" s="1"/>
      <c r="C584" s="1"/>
      <c r="D584" s="1"/>
      <c r="E584" s="1"/>
      <c r="F584" s="1"/>
      <c r="G584" s="1"/>
      <c r="H584" s="1"/>
      <c r="I584" s="11"/>
    </row>
    <row r="585" spans="1:9">
      <c r="A585" s="2"/>
      <c r="B585" s="1"/>
      <c r="C585" s="1"/>
      <c r="D585" s="1"/>
      <c r="E585" s="1"/>
      <c r="F585" s="1"/>
      <c r="G585" s="1"/>
      <c r="H585" s="1"/>
      <c r="I585" s="11"/>
    </row>
    <row r="586" spans="1:9">
      <c r="A586" s="2"/>
      <c r="B586" s="1"/>
      <c r="C586" s="1"/>
      <c r="D586" s="1"/>
      <c r="E586" s="1"/>
      <c r="F586" s="1"/>
      <c r="G586" s="1"/>
      <c r="H586" s="1"/>
      <c r="I586" s="11"/>
    </row>
    <row r="587" spans="1:9">
      <c r="A587" s="2"/>
      <c r="B587" s="1"/>
      <c r="C587" s="1"/>
      <c r="D587" s="1"/>
      <c r="E587" s="1"/>
      <c r="F587" s="1"/>
      <c r="G587" s="1"/>
      <c r="H587" s="1"/>
      <c r="I587" s="11"/>
    </row>
    <row r="588" spans="1:9">
      <c r="A588" s="2"/>
      <c r="B588" s="1"/>
      <c r="C588" s="1"/>
      <c r="D588" s="1"/>
      <c r="E588" s="1"/>
      <c r="F588" s="1"/>
      <c r="G588" s="1"/>
      <c r="H588" s="1"/>
      <c r="I588" s="11"/>
    </row>
    <row r="589" spans="1:9">
      <c r="A589" s="2"/>
      <c r="B589" s="1"/>
      <c r="C589" s="1"/>
      <c r="D589" s="1"/>
      <c r="E589" s="1"/>
      <c r="F589" s="1"/>
      <c r="G589" s="1"/>
      <c r="H589" s="1"/>
      <c r="I589" s="11"/>
    </row>
    <row r="590" spans="1:9">
      <c r="A590" s="2"/>
      <c r="B590" s="1"/>
      <c r="C590" s="1"/>
      <c r="D590" s="1"/>
      <c r="E590" s="1"/>
      <c r="F590" s="1"/>
      <c r="G590" s="1"/>
      <c r="H590" s="1"/>
      <c r="I590" s="11"/>
    </row>
    <row r="591" spans="1:9">
      <c r="A591" s="2"/>
      <c r="B591" s="1"/>
      <c r="C591" s="1"/>
      <c r="D591" s="1"/>
      <c r="E591" s="1"/>
      <c r="F591" s="1"/>
      <c r="G591" s="1"/>
      <c r="H591" s="1"/>
      <c r="I591" s="11"/>
    </row>
    <row r="592" spans="1:9">
      <c r="A592" s="2"/>
      <c r="B592" s="1"/>
      <c r="C592" s="1"/>
      <c r="D592" s="1"/>
      <c r="E592" s="1"/>
      <c r="F592" s="1"/>
      <c r="G592" s="1"/>
      <c r="H592" s="1"/>
      <c r="I592" s="11"/>
    </row>
    <row r="593" spans="1:9">
      <c r="A593" s="2"/>
      <c r="B593" s="1"/>
      <c r="C593" s="1"/>
      <c r="D593" s="1"/>
      <c r="E593" s="1"/>
      <c r="F593" s="1"/>
      <c r="G593" s="1"/>
      <c r="H593" s="1"/>
      <c r="I593" s="11"/>
    </row>
    <row r="594" spans="1:9">
      <c r="A594" s="2"/>
      <c r="B594" s="1"/>
      <c r="C594" s="1"/>
      <c r="D594" s="1"/>
      <c r="E594" s="1"/>
      <c r="F594" s="1"/>
      <c r="G594" s="1"/>
      <c r="H594" s="1"/>
      <c r="I594" s="11"/>
    </row>
    <row r="595" spans="1:9">
      <c r="A595" s="2"/>
      <c r="B595" s="1"/>
      <c r="C595" s="1"/>
      <c r="D595" s="1"/>
      <c r="E595" s="1"/>
      <c r="F595" s="1"/>
      <c r="G595" s="1"/>
      <c r="H595" s="1"/>
      <c r="I595" s="11"/>
    </row>
    <row r="596" spans="1:9">
      <c r="A596" s="2"/>
      <c r="B596" s="1"/>
      <c r="C596" s="1"/>
      <c r="D596" s="1"/>
      <c r="E596" s="1"/>
      <c r="F596" s="1"/>
      <c r="G596" s="1"/>
      <c r="H596" s="1"/>
      <c r="I596" s="11"/>
    </row>
    <row r="597" spans="1:9">
      <c r="A597" s="2"/>
      <c r="B597" s="1"/>
      <c r="C597" s="1"/>
      <c r="D597" s="1"/>
      <c r="E597" s="1"/>
      <c r="F597" s="1"/>
      <c r="G597" s="1"/>
      <c r="H597" s="1"/>
      <c r="I597" s="11"/>
    </row>
    <row r="598" spans="1:9">
      <c r="A598" s="2"/>
      <c r="B598" s="1"/>
      <c r="C598" s="1"/>
      <c r="D598" s="1"/>
      <c r="E598" s="1"/>
      <c r="F598" s="1"/>
      <c r="G598" s="1"/>
      <c r="H598" s="1"/>
      <c r="I598" s="11"/>
    </row>
    <row r="599" spans="1:9">
      <c r="A599" s="2"/>
      <c r="B599" s="1"/>
      <c r="C599" s="1"/>
      <c r="D599" s="1"/>
      <c r="E599" s="1"/>
      <c r="F599" s="1"/>
      <c r="G599" s="1"/>
      <c r="H599" s="1"/>
      <c r="I599" s="11"/>
    </row>
    <row r="600" spans="1:9">
      <c r="A600" s="2"/>
      <c r="B600" s="1"/>
      <c r="C600" s="1"/>
      <c r="D600" s="1"/>
      <c r="E600" s="1"/>
      <c r="F600" s="1"/>
      <c r="G600" s="1"/>
      <c r="H600" s="1"/>
      <c r="I600" s="11"/>
    </row>
    <row r="601" spans="1:9">
      <c r="A601" s="2"/>
      <c r="B601" s="1"/>
      <c r="C601" s="1"/>
      <c r="D601" s="1"/>
      <c r="E601" s="1"/>
      <c r="F601" s="1"/>
      <c r="G601" s="1"/>
      <c r="H601" s="1"/>
      <c r="I601" s="11"/>
    </row>
    <row r="602" spans="1:9">
      <c r="A602" s="2"/>
      <c r="B602" s="1"/>
      <c r="C602" s="1"/>
      <c r="D602" s="1"/>
      <c r="E602" s="1"/>
      <c r="F602" s="1"/>
      <c r="G602" s="1"/>
      <c r="H602" s="1"/>
      <c r="I602" s="11"/>
    </row>
    <row r="603" spans="1:9">
      <c r="A603" s="2"/>
      <c r="B603" s="1"/>
      <c r="C603" s="1"/>
      <c r="D603" s="1"/>
      <c r="E603" s="1"/>
      <c r="F603" s="1"/>
      <c r="G603" s="1"/>
      <c r="H603" s="1"/>
      <c r="I603" s="11"/>
    </row>
    <row r="604" spans="1:9">
      <c r="A604" s="2"/>
      <c r="B604" s="1"/>
      <c r="C604" s="1"/>
      <c r="D604" s="1"/>
      <c r="E604" s="1"/>
      <c r="F604" s="1"/>
      <c r="G604" s="1"/>
      <c r="H604" s="1"/>
      <c r="I604" s="11"/>
    </row>
    <row r="605" spans="1:9">
      <c r="A605" s="2"/>
      <c r="B605" s="1"/>
      <c r="C605" s="1"/>
      <c r="D605" s="1"/>
      <c r="E605" s="1"/>
      <c r="F605" s="1"/>
      <c r="G605" s="1"/>
      <c r="H605" s="1"/>
      <c r="I605" s="11"/>
    </row>
    <row r="606" spans="1:9">
      <c r="A606" s="2"/>
      <c r="B606" s="1"/>
      <c r="C606" s="1"/>
      <c r="D606" s="1"/>
      <c r="E606" s="1"/>
      <c r="F606" s="1"/>
      <c r="G606" s="1"/>
      <c r="H606" s="1"/>
      <c r="I606" s="11"/>
    </row>
    <row r="607" spans="1:9">
      <c r="A607" s="2"/>
      <c r="B607" s="1"/>
      <c r="C607" s="1"/>
      <c r="D607" s="1"/>
      <c r="E607" s="1"/>
      <c r="F607" s="1"/>
      <c r="G607" s="1"/>
      <c r="H607" s="1"/>
      <c r="I607" s="11"/>
    </row>
    <row r="608" spans="1:9">
      <c r="A608" s="2"/>
      <c r="B608" s="1"/>
      <c r="C608" s="1"/>
      <c r="D608" s="1"/>
      <c r="E608" s="1"/>
      <c r="F608" s="1"/>
      <c r="G608" s="1"/>
      <c r="H608" s="1"/>
      <c r="I608" s="11"/>
    </row>
    <row r="609" spans="1:9">
      <c r="A609" s="2"/>
      <c r="B609" s="1"/>
      <c r="C609" s="1"/>
      <c r="D609" s="1"/>
      <c r="E609" s="1"/>
      <c r="F609" s="1"/>
      <c r="G609" s="1"/>
      <c r="H609" s="1"/>
      <c r="I609" s="11"/>
    </row>
    <row r="610" spans="1:9">
      <c r="A610" s="2"/>
      <c r="B610" s="1"/>
      <c r="C610" s="1"/>
      <c r="D610" s="1"/>
      <c r="E610" s="1"/>
      <c r="F610" s="1"/>
      <c r="G610" s="1"/>
      <c r="H610" s="1"/>
      <c r="I610" s="11"/>
    </row>
    <row r="611" spans="1:9">
      <c r="A611" s="2"/>
      <c r="B611" s="1"/>
      <c r="C611" s="1"/>
      <c r="D611" s="1"/>
      <c r="E611" s="1"/>
      <c r="F611" s="1"/>
      <c r="G611" s="1"/>
      <c r="H611" s="1"/>
      <c r="I611" s="11"/>
    </row>
    <row r="612" spans="1:9">
      <c r="A612" s="2"/>
      <c r="B612" s="1"/>
      <c r="C612" s="1"/>
      <c r="D612" s="1"/>
      <c r="E612" s="1"/>
      <c r="F612" s="1"/>
      <c r="G612" s="1"/>
      <c r="H612" s="1"/>
      <c r="I612" s="11"/>
    </row>
    <row r="613" spans="1:9">
      <c r="A613" s="2"/>
      <c r="B613" s="1"/>
      <c r="C613" s="1"/>
      <c r="D613" s="1"/>
      <c r="E613" s="1"/>
      <c r="F613" s="1"/>
      <c r="G613" s="1"/>
      <c r="H613" s="1"/>
      <c r="I613" s="11"/>
    </row>
    <row r="614" spans="1:9">
      <c r="A614" s="2"/>
      <c r="B614" s="1"/>
      <c r="C614" s="1"/>
      <c r="D614" s="1"/>
      <c r="E614" s="1"/>
      <c r="F614" s="1"/>
      <c r="G614" s="1"/>
      <c r="H614" s="1"/>
      <c r="I614" s="11"/>
    </row>
    <row r="615" spans="1:9">
      <c r="A615" s="2"/>
      <c r="B615" s="1"/>
      <c r="C615" s="1"/>
      <c r="D615" s="1"/>
      <c r="E615" s="1"/>
      <c r="F615" s="1"/>
      <c r="G615" s="1"/>
      <c r="H615" s="1"/>
      <c r="I615" s="11"/>
    </row>
    <row r="616" spans="1:9">
      <c r="A616" s="2"/>
      <c r="B616" s="1"/>
      <c r="C616" s="1"/>
      <c r="D616" s="1"/>
      <c r="E616" s="1"/>
      <c r="F616" s="1"/>
      <c r="G616" s="1"/>
      <c r="H616" s="1"/>
      <c r="I616" s="11"/>
    </row>
    <row r="617" spans="1:9">
      <c r="A617" s="2"/>
      <c r="B617" s="1"/>
      <c r="C617" s="1"/>
      <c r="D617" s="1"/>
      <c r="E617" s="1"/>
      <c r="F617" s="1"/>
      <c r="G617" s="1"/>
      <c r="H617" s="1"/>
      <c r="I617" s="11"/>
    </row>
    <row r="618" spans="1:9">
      <c r="A618" s="2"/>
      <c r="B618" s="1"/>
      <c r="C618" s="1"/>
      <c r="D618" s="1"/>
      <c r="E618" s="1"/>
      <c r="F618" s="1"/>
      <c r="G618" s="1"/>
      <c r="H618" s="1"/>
      <c r="I618" s="11"/>
    </row>
    <row r="619" spans="1:9">
      <c r="A619" s="2"/>
      <c r="B619" s="1"/>
      <c r="C619" s="1"/>
      <c r="D619" s="1"/>
      <c r="E619" s="1"/>
      <c r="F619" s="1"/>
      <c r="G619" s="1"/>
      <c r="H619" s="1"/>
      <c r="I619" s="11"/>
    </row>
    <row r="620" spans="1:9">
      <c r="A620" s="2"/>
      <c r="B620" s="1"/>
      <c r="C620" s="1"/>
      <c r="D620" s="1"/>
      <c r="E620" s="1"/>
      <c r="F620" s="1"/>
      <c r="G620" s="1"/>
      <c r="H620" s="1"/>
      <c r="I620" s="11"/>
    </row>
    <row r="621" spans="1:9">
      <c r="A621" s="2"/>
      <c r="B621" s="1"/>
      <c r="C621" s="1"/>
      <c r="D621" s="1"/>
      <c r="E621" s="1"/>
      <c r="F621" s="1"/>
      <c r="G621" s="1"/>
      <c r="H621" s="1"/>
      <c r="I621" s="11"/>
    </row>
    <row r="622" spans="1:9">
      <c r="A622" s="2"/>
      <c r="B622" s="1"/>
      <c r="C622" s="1"/>
      <c r="D622" s="1"/>
      <c r="E622" s="1"/>
      <c r="F622" s="1"/>
      <c r="G622" s="1"/>
      <c r="H622" s="1"/>
      <c r="I622" s="11"/>
    </row>
    <row r="623" spans="1:9">
      <c r="A623" s="2"/>
      <c r="B623" s="1"/>
      <c r="C623" s="1"/>
      <c r="D623" s="1"/>
      <c r="E623" s="1"/>
      <c r="F623" s="1"/>
      <c r="G623" s="1"/>
      <c r="H623" s="1"/>
      <c r="I623" s="11"/>
    </row>
    <row r="624" spans="1:9">
      <c r="A624" s="2"/>
      <c r="B624" s="1"/>
      <c r="C624" s="1"/>
      <c r="D624" s="1"/>
      <c r="E624" s="1"/>
      <c r="F624" s="1"/>
      <c r="G624" s="1"/>
      <c r="H624" s="1"/>
      <c r="I624" s="11"/>
    </row>
    <row r="625" spans="1:9">
      <c r="A625" s="2"/>
      <c r="B625" s="1"/>
      <c r="C625" s="1"/>
      <c r="D625" s="1"/>
      <c r="E625" s="1"/>
      <c r="F625" s="1"/>
      <c r="G625" s="1"/>
      <c r="H625" s="1"/>
      <c r="I625" s="11"/>
    </row>
    <row r="626" spans="1:9">
      <c r="A626" s="2"/>
      <c r="B626" s="1"/>
      <c r="C626" s="1"/>
      <c r="D626" s="1"/>
      <c r="E626" s="1"/>
      <c r="F626" s="1"/>
      <c r="G626" s="1"/>
      <c r="H626" s="1"/>
      <c r="I626" s="11"/>
    </row>
    <row r="627" spans="1:9">
      <c r="A627" s="2"/>
      <c r="B627" s="1"/>
      <c r="C627" s="1"/>
      <c r="D627" s="1"/>
      <c r="E627" s="1"/>
      <c r="F627" s="1"/>
      <c r="G627" s="1"/>
      <c r="H627" s="1"/>
      <c r="I627" s="11"/>
    </row>
    <row r="628" spans="1:9">
      <c r="A628" s="2"/>
      <c r="B628" s="1"/>
      <c r="C628" s="1"/>
      <c r="D628" s="1"/>
      <c r="E628" s="1"/>
      <c r="F628" s="1"/>
      <c r="G628" s="1"/>
      <c r="H628" s="1"/>
      <c r="I628" s="11"/>
    </row>
    <row r="629" spans="1:9">
      <c r="A629" s="2"/>
      <c r="B629" s="1"/>
      <c r="C629" s="1"/>
      <c r="D629" s="1"/>
      <c r="E629" s="1"/>
      <c r="F629" s="1"/>
      <c r="G629" s="1"/>
      <c r="H629" s="1"/>
      <c r="I629" s="11"/>
    </row>
    <row r="630" spans="1:9">
      <c r="A630" s="2"/>
      <c r="B630" s="1"/>
      <c r="C630" s="1"/>
      <c r="D630" s="1"/>
      <c r="E630" s="1"/>
      <c r="F630" s="1"/>
      <c r="G630" s="1"/>
      <c r="H630" s="1"/>
      <c r="I630" s="11"/>
    </row>
    <row r="631" spans="1:9">
      <c r="A631" s="2"/>
      <c r="B631" s="1"/>
      <c r="C631" s="1"/>
      <c r="D631" s="1"/>
      <c r="E631" s="1"/>
      <c r="F631" s="1"/>
      <c r="G631" s="1"/>
      <c r="H631" s="1"/>
      <c r="I631" s="11"/>
    </row>
    <row r="632" spans="1:9">
      <c r="A632" s="2"/>
      <c r="B632" s="1"/>
      <c r="C632" s="1"/>
      <c r="D632" s="1"/>
      <c r="E632" s="1"/>
      <c r="F632" s="1"/>
      <c r="G632" s="1"/>
      <c r="H632" s="1"/>
      <c r="I632" s="11"/>
    </row>
    <row r="633" spans="1:9">
      <c r="A633" s="2"/>
      <c r="B633" s="1"/>
      <c r="C633" s="1"/>
      <c r="D633" s="1"/>
      <c r="E633" s="1"/>
      <c r="F633" s="1"/>
      <c r="G633" s="1"/>
      <c r="H633" s="1"/>
      <c r="I633" s="11"/>
    </row>
    <row r="634" spans="1:9">
      <c r="A634" s="2"/>
      <c r="B634" s="1"/>
      <c r="C634" s="1"/>
      <c r="D634" s="1"/>
      <c r="E634" s="1"/>
      <c r="F634" s="1"/>
      <c r="G634" s="1"/>
      <c r="H634" s="1"/>
      <c r="I634" s="11"/>
    </row>
    <row r="635" spans="1:9">
      <c r="A635" s="2"/>
      <c r="B635" s="1"/>
      <c r="C635" s="1"/>
      <c r="D635" s="1"/>
      <c r="E635" s="1"/>
      <c r="F635" s="1"/>
      <c r="G635" s="1"/>
      <c r="H635" s="1"/>
      <c r="I635" s="11"/>
    </row>
    <row r="636" spans="1:9">
      <c r="A636" s="2"/>
      <c r="B636" s="1"/>
      <c r="C636" s="1"/>
      <c r="D636" s="1"/>
      <c r="E636" s="1"/>
      <c r="F636" s="1"/>
      <c r="G636" s="1"/>
      <c r="H636" s="1"/>
      <c r="I636" s="11"/>
    </row>
    <row r="637" spans="1:9">
      <c r="A637" s="2"/>
      <c r="B637" s="1"/>
      <c r="C637" s="1"/>
      <c r="D637" s="1"/>
      <c r="E637" s="1"/>
      <c r="F637" s="1"/>
      <c r="G637" s="1"/>
      <c r="H637" s="1"/>
      <c r="I637" s="11"/>
    </row>
    <row r="638" spans="1:9">
      <c r="A638" s="2"/>
      <c r="B638" s="1"/>
      <c r="C638" s="1"/>
      <c r="D638" s="1"/>
      <c r="E638" s="1"/>
      <c r="F638" s="1"/>
      <c r="G638" s="1"/>
      <c r="H638" s="1"/>
      <c r="I638" s="11"/>
    </row>
    <row r="639" spans="1:9">
      <c r="A639" s="2"/>
      <c r="B639" s="1"/>
      <c r="C639" s="1"/>
      <c r="D639" s="1"/>
      <c r="E639" s="1"/>
      <c r="F639" s="1"/>
      <c r="G639" s="1"/>
      <c r="H639" s="1"/>
      <c r="I639" s="11"/>
    </row>
    <row r="640" spans="1:9">
      <c r="A640" s="2"/>
      <c r="B640" s="1"/>
      <c r="C640" s="1"/>
      <c r="D640" s="1"/>
      <c r="E640" s="1"/>
      <c r="F640" s="1"/>
      <c r="G640" s="1"/>
      <c r="H640" s="1"/>
      <c r="I640" s="11"/>
    </row>
    <row r="641" spans="1:9">
      <c r="A641" s="2"/>
      <c r="B641" s="1"/>
      <c r="C641" s="1"/>
      <c r="D641" s="1"/>
      <c r="E641" s="1"/>
      <c r="F641" s="1"/>
      <c r="G641" s="1"/>
      <c r="H641" s="1"/>
      <c r="I641" s="11"/>
    </row>
    <row r="642" spans="1:9">
      <c r="A642" s="2"/>
      <c r="B642" s="1"/>
      <c r="C642" s="1"/>
      <c r="D642" s="1"/>
      <c r="E642" s="1"/>
      <c r="F642" s="1"/>
      <c r="G642" s="1"/>
      <c r="H642" s="1"/>
      <c r="I642" s="11"/>
    </row>
    <row r="643" spans="1:9">
      <c r="A643" s="2"/>
      <c r="B643" s="1"/>
      <c r="C643" s="1"/>
      <c r="D643" s="1"/>
      <c r="E643" s="1"/>
      <c r="F643" s="1"/>
      <c r="G643" s="1"/>
      <c r="H643" s="1"/>
      <c r="I643" s="11"/>
    </row>
    <row r="644" spans="1:9">
      <c r="A644" s="2"/>
      <c r="B644" s="1"/>
      <c r="C644" s="1"/>
      <c r="D644" s="1"/>
      <c r="E644" s="1"/>
      <c r="F644" s="1"/>
      <c r="G644" s="1"/>
      <c r="H644" s="1"/>
      <c r="I644" s="11"/>
    </row>
    <row r="645" spans="1:9">
      <c r="A645" s="2"/>
      <c r="B645" s="1"/>
      <c r="C645" s="1"/>
      <c r="D645" s="1"/>
      <c r="E645" s="1"/>
      <c r="F645" s="1"/>
      <c r="G645" s="1"/>
      <c r="H645" s="1"/>
      <c r="I645" s="11"/>
    </row>
    <row r="646" spans="1:9">
      <c r="A646" s="2"/>
      <c r="B646" s="1"/>
      <c r="C646" s="1"/>
      <c r="D646" s="1"/>
      <c r="E646" s="1"/>
      <c r="F646" s="1"/>
      <c r="G646" s="1"/>
      <c r="H646" s="1"/>
      <c r="I646" s="11"/>
    </row>
    <row r="647" spans="1:9">
      <c r="A647" s="2"/>
      <c r="B647" s="1"/>
      <c r="C647" s="1"/>
      <c r="D647" s="1"/>
      <c r="E647" s="1"/>
      <c r="F647" s="1"/>
      <c r="G647" s="1"/>
      <c r="H647" s="1"/>
      <c r="I647" s="11"/>
    </row>
    <row r="648" spans="1:9">
      <c r="A648" s="2"/>
      <c r="B648" s="1"/>
      <c r="C648" s="1"/>
      <c r="D648" s="1"/>
      <c r="E648" s="1"/>
      <c r="F648" s="1"/>
      <c r="G648" s="1"/>
      <c r="H648" s="1"/>
      <c r="I648" s="11"/>
    </row>
    <row r="649" spans="1:9">
      <c r="A649" s="2"/>
      <c r="B649" s="1"/>
      <c r="C649" s="1"/>
      <c r="D649" s="1"/>
      <c r="E649" s="1"/>
      <c r="F649" s="1"/>
      <c r="G649" s="1"/>
      <c r="H649" s="1"/>
      <c r="I649" s="11"/>
    </row>
    <row r="650" spans="1:9">
      <c r="A650" s="2"/>
      <c r="B650" s="1"/>
      <c r="C650" s="1"/>
      <c r="D650" s="1"/>
      <c r="E650" s="1"/>
      <c r="F650" s="1"/>
      <c r="G650" s="1"/>
      <c r="H650" s="1"/>
      <c r="I650" s="11"/>
    </row>
    <row r="651" spans="1:9">
      <c r="A651" s="2"/>
      <c r="B651" s="1"/>
      <c r="C651" s="1"/>
      <c r="D651" s="1"/>
      <c r="E651" s="1"/>
      <c r="F651" s="1"/>
      <c r="G651" s="1"/>
      <c r="H651" s="1"/>
      <c r="I651" s="11"/>
    </row>
    <row r="652" spans="1:9">
      <c r="A652" s="2"/>
      <c r="B652" s="1"/>
      <c r="C652" s="1"/>
      <c r="D652" s="1"/>
      <c r="E652" s="1"/>
      <c r="F652" s="1"/>
      <c r="G652" s="1"/>
      <c r="H652" s="1"/>
      <c r="I652" s="11"/>
    </row>
    <row r="653" spans="1:9">
      <c r="A653" s="2"/>
      <c r="B653" s="1"/>
      <c r="C653" s="1"/>
      <c r="D653" s="1"/>
      <c r="E653" s="1"/>
      <c r="F653" s="1"/>
      <c r="G653" s="1"/>
      <c r="H653" s="1"/>
      <c r="I653" s="11"/>
    </row>
    <row r="654" spans="1:9">
      <c r="A654" s="2"/>
      <c r="B654" s="1"/>
      <c r="C654" s="1"/>
      <c r="D654" s="1"/>
      <c r="E654" s="1"/>
      <c r="F654" s="1"/>
      <c r="G654" s="1"/>
      <c r="H654" s="1"/>
      <c r="I654" s="11"/>
    </row>
    <row r="655" spans="1:9">
      <c r="A655" s="2"/>
      <c r="B655" s="1"/>
      <c r="C655" s="1"/>
      <c r="D655" s="1"/>
      <c r="E655" s="1"/>
      <c r="F655" s="1"/>
      <c r="G655" s="1"/>
      <c r="H655" s="1"/>
      <c r="I655" s="11"/>
    </row>
    <row r="656" spans="1:9">
      <c r="A656" s="2"/>
      <c r="B656" s="1"/>
      <c r="C656" s="1"/>
      <c r="D656" s="1"/>
      <c r="E656" s="1"/>
      <c r="F656" s="1"/>
      <c r="G656" s="1"/>
      <c r="H656" s="1"/>
      <c r="I656" s="11"/>
    </row>
    <row r="657" spans="1:9">
      <c r="A657" s="2"/>
      <c r="B657" s="1"/>
      <c r="C657" s="1"/>
      <c r="D657" s="1"/>
      <c r="E657" s="1"/>
      <c r="F657" s="1"/>
      <c r="G657" s="1"/>
      <c r="H657" s="1"/>
      <c r="I657" s="11"/>
    </row>
    <row r="658" spans="1:9">
      <c r="A658" s="2"/>
      <c r="B658" s="1"/>
      <c r="C658" s="1"/>
      <c r="D658" s="1"/>
      <c r="E658" s="1"/>
      <c r="F658" s="1"/>
      <c r="G658" s="1"/>
      <c r="H658" s="1"/>
      <c r="I658" s="11"/>
    </row>
    <row r="659" spans="1:9">
      <c r="A659" s="2"/>
      <c r="B659" s="1"/>
      <c r="C659" s="1"/>
      <c r="D659" s="1"/>
      <c r="E659" s="1"/>
      <c r="F659" s="1"/>
      <c r="G659" s="1"/>
      <c r="H659" s="1"/>
      <c r="I659" s="11"/>
    </row>
    <row r="660" spans="1:9">
      <c r="A660" s="2"/>
      <c r="B660" s="1"/>
      <c r="C660" s="1"/>
      <c r="D660" s="1"/>
      <c r="E660" s="1"/>
      <c r="F660" s="1"/>
      <c r="G660" s="1"/>
      <c r="H660" s="1"/>
      <c r="I660" s="11"/>
    </row>
    <row r="661" spans="1:9">
      <c r="A661" s="2"/>
      <c r="B661" s="1"/>
      <c r="C661" s="1"/>
      <c r="D661" s="1"/>
      <c r="E661" s="1"/>
      <c r="F661" s="1"/>
      <c r="G661" s="1"/>
      <c r="H661" s="1"/>
      <c r="I661" s="11"/>
    </row>
    <row r="662" spans="1:9">
      <c r="A662" s="2"/>
      <c r="B662" s="1"/>
      <c r="C662" s="1"/>
      <c r="D662" s="1"/>
      <c r="E662" s="1"/>
      <c r="F662" s="1"/>
      <c r="G662" s="1"/>
      <c r="H662" s="1"/>
      <c r="I662" s="11"/>
    </row>
    <row r="663" spans="1:9">
      <c r="A663" s="2"/>
      <c r="B663" s="1"/>
      <c r="C663" s="1"/>
      <c r="D663" s="1"/>
      <c r="E663" s="1"/>
      <c r="F663" s="1"/>
      <c r="G663" s="1"/>
      <c r="H663" s="1"/>
      <c r="I663" s="11"/>
    </row>
    <row r="664" spans="1:9">
      <c r="A664" s="2"/>
      <c r="B664" s="1"/>
      <c r="C664" s="1"/>
      <c r="D664" s="1"/>
      <c r="E664" s="1"/>
      <c r="F664" s="1"/>
      <c r="G664" s="1"/>
      <c r="H664" s="1"/>
      <c r="I664" s="11"/>
    </row>
    <row r="665" spans="1:9">
      <c r="A665" s="2"/>
      <c r="B665" s="1"/>
      <c r="C665" s="1"/>
      <c r="D665" s="1"/>
      <c r="E665" s="1"/>
      <c r="F665" s="1"/>
      <c r="G665" s="1"/>
      <c r="H665" s="1"/>
      <c r="I665" s="11"/>
    </row>
    <row r="666" spans="1:9">
      <c r="A666" s="2"/>
      <c r="B666" s="1"/>
      <c r="C666" s="1"/>
      <c r="D666" s="1"/>
      <c r="E666" s="1"/>
      <c r="F666" s="1"/>
      <c r="G666" s="1"/>
      <c r="H666" s="1"/>
      <c r="I666" s="11"/>
    </row>
    <row r="667" spans="1:9">
      <c r="A667" s="2"/>
      <c r="B667" s="1"/>
      <c r="C667" s="1"/>
      <c r="D667" s="1"/>
      <c r="E667" s="1"/>
      <c r="F667" s="1"/>
      <c r="G667" s="1"/>
      <c r="H667" s="1"/>
      <c r="I667" s="11"/>
    </row>
    <row r="668" spans="1:9">
      <c r="A668" s="2"/>
      <c r="B668" s="1"/>
      <c r="C668" s="1"/>
      <c r="D668" s="1"/>
      <c r="E668" s="1"/>
      <c r="F668" s="1"/>
      <c r="G668" s="1"/>
      <c r="H668" s="1"/>
      <c r="I668" s="11"/>
    </row>
    <row r="669" spans="1:9">
      <c r="A669" s="2"/>
      <c r="B669" s="1"/>
      <c r="C669" s="1"/>
      <c r="D669" s="1"/>
      <c r="E669" s="1"/>
      <c r="F669" s="1"/>
      <c r="G669" s="1"/>
      <c r="H669" s="1"/>
      <c r="I669" s="11"/>
    </row>
    <row r="670" spans="1:9">
      <c r="A670" s="2"/>
      <c r="B670" s="1"/>
      <c r="C670" s="1"/>
      <c r="D670" s="1"/>
      <c r="E670" s="1"/>
      <c r="F670" s="1"/>
      <c r="G670" s="1"/>
      <c r="H670" s="1"/>
      <c r="I670" s="11"/>
    </row>
    <row r="671" spans="1:9">
      <c r="A671" s="2"/>
      <c r="B671" s="1"/>
      <c r="C671" s="1"/>
      <c r="D671" s="1"/>
      <c r="E671" s="1"/>
      <c r="F671" s="1"/>
      <c r="G671" s="1"/>
      <c r="H671" s="1"/>
      <c r="I671" s="11"/>
    </row>
    <row r="672" spans="1:9">
      <c r="A672" s="2"/>
      <c r="B672" s="1"/>
      <c r="C672" s="1"/>
      <c r="D672" s="1"/>
      <c r="E672" s="1"/>
      <c r="F672" s="1"/>
      <c r="G672" s="1"/>
      <c r="H672" s="1"/>
      <c r="I672" s="11"/>
    </row>
    <row r="673" spans="1:9">
      <c r="A673" s="2"/>
      <c r="B673" s="1"/>
      <c r="C673" s="1"/>
      <c r="D673" s="1"/>
      <c r="E673" s="1"/>
      <c r="F673" s="1"/>
      <c r="G673" s="1"/>
      <c r="H673" s="1"/>
      <c r="I673" s="11"/>
    </row>
    <row r="674" spans="1:9">
      <c r="A674" s="2"/>
      <c r="B674" s="1"/>
      <c r="C674" s="1"/>
      <c r="D674" s="1"/>
      <c r="E674" s="1"/>
      <c r="F674" s="1"/>
      <c r="G674" s="1"/>
      <c r="H674" s="1"/>
      <c r="I674" s="11"/>
    </row>
    <row r="675" spans="1:9">
      <c r="A675" s="2"/>
      <c r="B675" s="1"/>
      <c r="C675" s="1"/>
      <c r="D675" s="1"/>
      <c r="E675" s="1"/>
      <c r="F675" s="1"/>
      <c r="G675" s="1"/>
      <c r="H675" s="1"/>
      <c r="I675" s="11"/>
    </row>
    <row r="676" spans="1:9">
      <c r="A676" s="2"/>
      <c r="B676" s="1"/>
      <c r="C676" s="1"/>
      <c r="D676" s="1"/>
      <c r="E676" s="1"/>
      <c r="F676" s="1"/>
      <c r="G676" s="1"/>
      <c r="H676" s="1"/>
      <c r="I676" s="11"/>
    </row>
    <row r="677" spans="1:9">
      <c r="A677" s="2"/>
      <c r="B677" s="1"/>
      <c r="C677" s="1"/>
      <c r="D677" s="1"/>
      <c r="E677" s="1"/>
      <c r="F677" s="1"/>
      <c r="G677" s="1"/>
      <c r="H677" s="1"/>
      <c r="I677" s="11"/>
    </row>
    <row r="678" spans="1:9">
      <c r="A678" s="2"/>
      <c r="B678" s="1"/>
      <c r="C678" s="1"/>
      <c r="D678" s="1"/>
      <c r="E678" s="1"/>
      <c r="F678" s="1"/>
      <c r="G678" s="1"/>
      <c r="H678" s="1"/>
      <c r="I678" s="11"/>
    </row>
    <row r="679" spans="1:9">
      <c r="A679" s="2"/>
      <c r="B679" s="1"/>
      <c r="C679" s="1"/>
      <c r="D679" s="1"/>
      <c r="E679" s="1"/>
      <c r="F679" s="1"/>
      <c r="G679" s="1"/>
      <c r="H679" s="1"/>
      <c r="I679" s="11"/>
    </row>
    <row r="680" spans="1:9">
      <c r="A680" s="2"/>
      <c r="B680" s="1"/>
      <c r="C680" s="1"/>
      <c r="D680" s="1"/>
      <c r="E680" s="1"/>
      <c r="F680" s="1"/>
      <c r="G680" s="1"/>
      <c r="H680" s="1"/>
      <c r="I680" s="11"/>
    </row>
    <row r="681" spans="1:9">
      <c r="A681" s="2"/>
      <c r="B681" s="1"/>
      <c r="C681" s="1"/>
      <c r="D681" s="1"/>
      <c r="E681" s="1"/>
      <c r="F681" s="1"/>
      <c r="G681" s="1"/>
      <c r="H681" s="1"/>
      <c r="I681" s="11"/>
    </row>
    <row r="682" spans="1:9">
      <c r="A682" s="2"/>
      <c r="B682" s="1"/>
      <c r="C682" s="1"/>
      <c r="D682" s="1"/>
      <c r="E682" s="1"/>
      <c r="F682" s="1"/>
      <c r="G682" s="1"/>
      <c r="H682" s="1"/>
      <c r="I682" s="11"/>
    </row>
    <row r="683" spans="1:9">
      <c r="A683" s="2"/>
      <c r="B683" s="1"/>
      <c r="C683" s="1"/>
      <c r="D683" s="1"/>
      <c r="E683" s="1"/>
      <c r="F683" s="1"/>
      <c r="G683" s="1"/>
      <c r="H683" s="1"/>
      <c r="I683" s="11"/>
    </row>
    <row r="684" spans="1:9">
      <c r="A684" s="2"/>
      <c r="B684" s="1"/>
      <c r="C684" s="1"/>
      <c r="D684" s="1"/>
      <c r="E684" s="1"/>
      <c r="F684" s="1"/>
      <c r="G684" s="1"/>
      <c r="H684" s="1"/>
      <c r="I684" s="11"/>
    </row>
    <row r="685" spans="1:9">
      <c r="A685" s="2"/>
      <c r="B685" s="1"/>
      <c r="C685" s="1"/>
      <c r="D685" s="1"/>
      <c r="E685" s="1"/>
      <c r="F685" s="1"/>
      <c r="G685" s="1"/>
      <c r="H685" s="1"/>
      <c r="I685" s="11"/>
    </row>
    <row r="686" spans="1:9">
      <c r="A686" s="2"/>
      <c r="B686" s="1"/>
      <c r="C686" s="1"/>
      <c r="D686" s="1"/>
      <c r="E686" s="1"/>
      <c r="F686" s="1"/>
      <c r="G686" s="1"/>
      <c r="H686" s="1"/>
      <c r="I686" s="11"/>
    </row>
    <row r="687" spans="1:9">
      <c r="A687" s="2"/>
      <c r="B687" s="1"/>
      <c r="C687" s="1"/>
      <c r="D687" s="1"/>
      <c r="E687" s="1"/>
      <c r="F687" s="1"/>
      <c r="G687" s="1"/>
      <c r="H687" s="1"/>
      <c r="I687" s="11"/>
    </row>
    <row r="688" spans="1:9">
      <c r="A688" s="2"/>
      <c r="B688" s="1"/>
      <c r="C688" s="1"/>
      <c r="D688" s="1"/>
      <c r="E688" s="1"/>
      <c r="F688" s="1"/>
      <c r="G688" s="1"/>
      <c r="H688" s="1"/>
      <c r="I688" s="11"/>
    </row>
    <row r="689" spans="1:9">
      <c r="A689" s="2"/>
      <c r="B689" s="1"/>
      <c r="C689" s="1"/>
      <c r="D689" s="1"/>
      <c r="E689" s="1"/>
      <c r="F689" s="1"/>
      <c r="G689" s="1"/>
      <c r="H689" s="1"/>
      <c r="I689" s="11"/>
    </row>
    <row r="690" spans="1:9">
      <c r="A690" s="2"/>
      <c r="B690" s="1"/>
      <c r="C690" s="1"/>
      <c r="D690" s="1"/>
      <c r="E690" s="1"/>
      <c r="F690" s="1"/>
      <c r="G690" s="1"/>
      <c r="H690" s="1"/>
      <c r="I690" s="11"/>
    </row>
    <row r="691" spans="1:9">
      <c r="A691" s="2"/>
      <c r="B691" s="1"/>
      <c r="C691" s="1"/>
      <c r="D691" s="1"/>
      <c r="E691" s="1"/>
      <c r="F691" s="1"/>
      <c r="G691" s="1"/>
      <c r="H691" s="1"/>
      <c r="I691" s="11"/>
    </row>
    <row r="692" spans="1:9">
      <c r="A692" s="2"/>
      <c r="B692" s="1"/>
      <c r="C692" s="1"/>
      <c r="D692" s="1"/>
      <c r="E692" s="1"/>
      <c r="F692" s="1"/>
      <c r="G692" s="1"/>
      <c r="H692" s="1"/>
      <c r="I692" s="11"/>
    </row>
    <row r="693" spans="1:9">
      <c r="A693" s="2"/>
      <c r="B693" s="1"/>
      <c r="C693" s="1"/>
      <c r="D693" s="1"/>
      <c r="E693" s="1"/>
      <c r="F693" s="1"/>
      <c r="G693" s="1"/>
      <c r="H693" s="1"/>
      <c r="I693" s="11"/>
    </row>
    <row r="694" spans="1:9">
      <c r="A694" s="2"/>
      <c r="B694" s="1"/>
      <c r="C694" s="1"/>
      <c r="D694" s="1"/>
      <c r="E694" s="1"/>
      <c r="F694" s="1"/>
      <c r="G694" s="1"/>
      <c r="H694" s="1"/>
      <c r="I694" s="11"/>
    </row>
    <row r="695" spans="1:9">
      <c r="A695" s="2"/>
      <c r="B695" s="1"/>
      <c r="C695" s="1"/>
      <c r="D695" s="1"/>
      <c r="E695" s="1"/>
      <c r="F695" s="1"/>
      <c r="G695" s="1"/>
      <c r="H695" s="1"/>
      <c r="I695" s="11"/>
    </row>
    <row r="696" spans="1:9">
      <c r="A696" s="2"/>
      <c r="B696" s="1"/>
      <c r="C696" s="1"/>
      <c r="D696" s="1"/>
      <c r="E696" s="1"/>
      <c r="F696" s="1"/>
      <c r="G696" s="1"/>
      <c r="H696" s="1"/>
      <c r="I696" s="11"/>
    </row>
    <row r="697" spans="1:9">
      <c r="A697" s="2"/>
      <c r="B697" s="1"/>
      <c r="C697" s="1"/>
      <c r="D697" s="1"/>
      <c r="E697" s="1"/>
      <c r="F697" s="1"/>
      <c r="G697" s="1"/>
      <c r="H697" s="1"/>
      <c r="I697" s="11"/>
    </row>
    <row r="698" spans="1:9">
      <c r="A698" s="2"/>
      <c r="B698" s="1"/>
      <c r="C698" s="1"/>
      <c r="D698" s="1"/>
      <c r="E698" s="1"/>
      <c r="F698" s="1"/>
      <c r="G698" s="1"/>
      <c r="H698" s="1"/>
      <c r="I698" s="11"/>
    </row>
    <row r="699" spans="1:9">
      <c r="A699" s="2"/>
      <c r="B699" s="1"/>
      <c r="C699" s="1"/>
      <c r="D699" s="1"/>
      <c r="E699" s="1"/>
      <c r="F699" s="1"/>
      <c r="G699" s="1"/>
      <c r="H699" s="1"/>
      <c r="I699" s="11"/>
    </row>
    <row r="700" spans="1:9">
      <c r="A700" s="2"/>
      <c r="B700" s="1"/>
      <c r="C700" s="1"/>
      <c r="D700" s="1"/>
      <c r="E700" s="1"/>
      <c r="F700" s="1"/>
      <c r="G700" s="1"/>
      <c r="H700" s="1"/>
      <c r="I700" s="11"/>
    </row>
    <row r="701" spans="1:9">
      <c r="A701" s="2"/>
      <c r="B701" s="1"/>
      <c r="C701" s="1"/>
      <c r="D701" s="1"/>
      <c r="E701" s="1"/>
      <c r="F701" s="1"/>
      <c r="G701" s="1"/>
      <c r="H701" s="1"/>
      <c r="I701" s="11"/>
    </row>
    <row r="702" spans="1:9">
      <c r="A702" s="2"/>
      <c r="B702" s="1"/>
      <c r="C702" s="1"/>
      <c r="D702" s="1"/>
      <c r="E702" s="1"/>
      <c r="F702" s="1"/>
      <c r="G702" s="1"/>
      <c r="H702" s="1"/>
      <c r="I702" s="11"/>
    </row>
    <row r="703" spans="1:9">
      <c r="A703" s="2"/>
      <c r="B703" s="1"/>
      <c r="C703" s="1"/>
      <c r="D703" s="1"/>
      <c r="E703" s="1"/>
      <c r="F703" s="1"/>
      <c r="G703" s="1"/>
      <c r="H703" s="1"/>
      <c r="I703" s="11"/>
    </row>
    <row r="704" spans="1:9">
      <c r="A704" s="2"/>
      <c r="B704" s="1"/>
      <c r="C704" s="1"/>
      <c r="D704" s="1"/>
      <c r="E704" s="1"/>
      <c r="F704" s="1"/>
      <c r="G704" s="1"/>
      <c r="H704" s="1"/>
      <c r="I704" s="11"/>
    </row>
    <row r="705" spans="1:9">
      <c r="A705" s="2"/>
      <c r="B705" s="1"/>
      <c r="C705" s="1"/>
      <c r="D705" s="1"/>
      <c r="E705" s="1"/>
      <c r="F705" s="1"/>
      <c r="G705" s="1"/>
      <c r="H705" s="1"/>
      <c r="I705" s="11"/>
    </row>
    <row r="706" spans="1:9">
      <c r="A706" s="2"/>
      <c r="B706" s="1"/>
      <c r="C706" s="1"/>
      <c r="D706" s="1"/>
      <c r="E706" s="1"/>
      <c r="F706" s="1"/>
      <c r="G706" s="1"/>
      <c r="H706" s="1"/>
      <c r="I706" s="11"/>
    </row>
    <row r="707" spans="1:9">
      <c r="A707" s="2"/>
      <c r="B707" s="1"/>
      <c r="C707" s="1"/>
      <c r="D707" s="1"/>
      <c r="E707" s="1"/>
      <c r="F707" s="1"/>
      <c r="G707" s="1"/>
      <c r="H707" s="1"/>
      <c r="I707" s="11"/>
    </row>
    <row r="708" spans="1:9">
      <c r="A708" s="2"/>
      <c r="B708" s="1"/>
      <c r="C708" s="1"/>
      <c r="D708" s="1"/>
      <c r="E708" s="1"/>
      <c r="F708" s="1"/>
      <c r="G708" s="1"/>
      <c r="H708" s="1"/>
      <c r="I708" s="11"/>
    </row>
    <row r="709" spans="1:9">
      <c r="A709" s="2"/>
      <c r="B709" s="1"/>
      <c r="C709" s="1"/>
      <c r="D709" s="1"/>
      <c r="E709" s="1"/>
      <c r="F709" s="1"/>
      <c r="G709" s="1"/>
      <c r="H709" s="1"/>
      <c r="I709" s="11"/>
    </row>
    <row r="710" spans="1:9">
      <c r="A710" s="2"/>
      <c r="B710" s="1"/>
      <c r="C710" s="1"/>
      <c r="D710" s="1"/>
      <c r="E710" s="1"/>
      <c r="F710" s="1"/>
      <c r="G710" s="1"/>
      <c r="H710" s="1"/>
      <c r="I710" s="11"/>
    </row>
    <row r="711" spans="1:9">
      <c r="A711" s="2"/>
      <c r="B711" s="1"/>
      <c r="C711" s="1"/>
      <c r="D711" s="1"/>
      <c r="E711" s="1"/>
      <c r="F711" s="1"/>
      <c r="G711" s="1"/>
      <c r="H711" s="1"/>
      <c r="I711" s="11"/>
    </row>
    <row r="712" spans="1:9">
      <c r="A712" s="2"/>
      <c r="B712" s="1"/>
      <c r="C712" s="1"/>
      <c r="D712" s="1"/>
      <c r="E712" s="1"/>
      <c r="F712" s="1"/>
      <c r="G712" s="1"/>
      <c r="H712" s="1"/>
      <c r="I712" s="11"/>
    </row>
    <row r="713" spans="1:9">
      <c r="A713" s="2"/>
      <c r="B713" s="1"/>
      <c r="C713" s="1"/>
      <c r="D713" s="1"/>
      <c r="E713" s="1"/>
      <c r="F713" s="1"/>
      <c r="G713" s="1"/>
      <c r="H713" s="1"/>
      <c r="I713" s="11"/>
    </row>
    <row r="714" spans="1:9">
      <c r="A714" s="2"/>
      <c r="B714" s="1"/>
      <c r="C714" s="1"/>
      <c r="D714" s="1"/>
      <c r="E714" s="1"/>
      <c r="F714" s="1"/>
      <c r="G714" s="1"/>
      <c r="H714" s="1"/>
      <c r="I714" s="11"/>
    </row>
    <row r="715" spans="1:9">
      <c r="A715" s="2"/>
      <c r="B715" s="1"/>
      <c r="C715" s="1"/>
      <c r="D715" s="1"/>
      <c r="E715" s="1"/>
      <c r="F715" s="1"/>
      <c r="G715" s="1"/>
      <c r="H715" s="1"/>
      <c r="I715" s="11"/>
    </row>
    <row r="716" spans="1:9">
      <c r="A716" s="2"/>
      <c r="B716" s="1"/>
      <c r="C716" s="1"/>
      <c r="D716" s="1"/>
      <c r="E716" s="1"/>
      <c r="F716" s="1"/>
      <c r="G716" s="1"/>
      <c r="H716" s="1"/>
      <c r="I716" s="11"/>
    </row>
    <row r="717" spans="1:9">
      <c r="A717" s="2"/>
      <c r="B717" s="1"/>
      <c r="C717" s="1"/>
      <c r="D717" s="1"/>
      <c r="E717" s="1"/>
      <c r="F717" s="1"/>
      <c r="G717" s="1"/>
      <c r="H717" s="1"/>
      <c r="I717" s="11"/>
    </row>
    <row r="718" spans="1:9">
      <c r="A718" s="2"/>
      <c r="B718" s="1"/>
      <c r="C718" s="1"/>
      <c r="D718" s="1"/>
      <c r="E718" s="1"/>
      <c r="F718" s="1"/>
      <c r="G718" s="1"/>
      <c r="H718" s="1"/>
      <c r="I718" s="11"/>
    </row>
    <row r="719" spans="1:9">
      <c r="A719" s="2"/>
      <c r="B719" s="1"/>
      <c r="C719" s="1"/>
      <c r="D719" s="1"/>
      <c r="E719" s="1"/>
      <c r="F719" s="1"/>
      <c r="G719" s="1"/>
      <c r="H719" s="1"/>
      <c r="I719" s="11"/>
    </row>
    <row r="720" spans="1:9">
      <c r="A720" s="2"/>
      <c r="B720" s="1"/>
      <c r="C720" s="1"/>
      <c r="D720" s="1"/>
      <c r="E720" s="1"/>
      <c r="F720" s="1"/>
      <c r="G720" s="1"/>
      <c r="H720" s="1"/>
      <c r="I720" s="11"/>
    </row>
    <row r="721" spans="1:9">
      <c r="A721" s="2"/>
      <c r="B721" s="1"/>
      <c r="C721" s="1"/>
      <c r="D721" s="1"/>
      <c r="E721" s="1"/>
      <c r="F721" s="1"/>
      <c r="G721" s="1"/>
      <c r="H721" s="1"/>
      <c r="I721" s="11"/>
    </row>
    <row r="722" spans="1:9">
      <c r="A722" s="2"/>
      <c r="B722" s="1"/>
      <c r="C722" s="1"/>
      <c r="D722" s="1"/>
      <c r="E722" s="1"/>
      <c r="F722" s="1"/>
      <c r="G722" s="1"/>
      <c r="H722" s="1"/>
      <c r="I722" s="11"/>
    </row>
    <row r="723" spans="1:9">
      <c r="A723" s="2"/>
      <c r="B723" s="1"/>
      <c r="C723" s="1"/>
      <c r="D723" s="1"/>
      <c r="E723" s="1"/>
      <c r="F723" s="1"/>
      <c r="G723" s="1"/>
      <c r="H723" s="1"/>
      <c r="I723" s="11"/>
    </row>
    <row r="724" spans="1:9">
      <c r="A724" s="2"/>
      <c r="B724" s="1"/>
      <c r="C724" s="1"/>
      <c r="D724" s="1"/>
      <c r="E724" s="1"/>
      <c r="F724" s="1"/>
      <c r="G724" s="1"/>
      <c r="H724" s="1"/>
      <c r="I724" s="11"/>
    </row>
    <row r="725" spans="1:9">
      <c r="A725" s="2"/>
      <c r="B725" s="1"/>
      <c r="C725" s="1"/>
      <c r="D725" s="1"/>
      <c r="E725" s="1"/>
      <c r="F725" s="1"/>
      <c r="G725" s="1"/>
      <c r="H725" s="1"/>
      <c r="I725" s="11"/>
    </row>
    <row r="726" spans="1:9">
      <c r="A726" s="2"/>
      <c r="B726" s="1"/>
      <c r="C726" s="1"/>
      <c r="D726" s="1"/>
      <c r="E726" s="1"/>
      <c r="F726" s="1"/>
      <c r="G726" s="1"/>
      <c r="H726" s="1"/>
      <c r="I726" s="11"/>
    </row>
    <row r="727" spans="1:9">
      <c r="A727" s="2"/>
      <c r="B727" s="1"/>
      <c r="C727" s="1"/>
      <c r="D727" s="1"/>
      <c r="E727" s="1"/>
      <c r="F727" s="1"/>
      <c r="G727" s="1"/>
      <c r="H727" s="1"/>
      <c r="I727" s="11"/>
    </row>
    <row r="728" spans="1:9">
      <c r="A728" s="2"/>
      <c r="B728" s="1"/>
      <c r="C728" s="1"/>
      <c r="D728" s="1"/>
      <c r="E728" s="1"/>
      <c r="F728" s="1"/>
      <c r="G728" s="1"/>
      <c r="H728" s="1"/>
      <c r="I728" s="11"/>
    </row>
    <row r="729" spans="1:9">
      <c r="A729" s="2"/>
      <c r="B729" s="1"/>
      <c r="C729" s="1"/>
      <c r="D729" s="1"/>
      <c r="E729" s="1"/>
      <c r="F729" s="1"/>
      <c r="G729" s="1"/>
      <c r="H729" s="1"/>
      <c r="I729" s="11"/>
    </row>
    <row r="730" spans="1:9">
      <c r="A730" s="2"/>
      <c r="B730" s="1"/>
      <c r="C730" s="1"/>
      <c r="D730" s="1"/>
      <c r="E730" s="1"/>
      <c r="F730" s="1"/>
      <c r="G730" s="1"/>
      <c r="H730" s="1"/>
      <c r="I730" s="11"/>
    </row>
    <row r="731" spans="1:9">
      <c r="A731" s="2"/>
      <c r="B731" s="1"/>
      <c r="C731" s="1"/>
      <c r="D731" s="1"/>
      <c r="E731" s="1"/>
      <c r="F731" s="1"/>
      <c r="G731" s="1"/>
      <c r="H731" s="1"/>
      <c r="I731" s="11"/>
    </row>
    <row r="732" spans="1:9">
      <c r="A732" s="2"/>
      <c r="B732" s="1"/>
      <c r="C732" s="1"/>
      <c r="D732" s="1"/>
      <c r="E732" s="1"/>
      <c r="F732" s="1"/>
      <c r="G732" s="1"/>
      <c r="H732" s="1"/>
      <c r="I732" s="11"/>
    </row>
    <row r="733" spans="1:9">
      <c r="A733" s="2"/>
      <c r="B733" s="1"/>
      <c r="C733" s="1"/>
      <c r="D733" s="1"/>
      <c r="E733" s="1"/>
      <c r="F733" s="1"/>
      <c r="G733" s="1"/>
      <c r="H733" s="1"/>
      <c r="I733" s="11"/>
    </row>
    <row r="734" spans="1:9">
      <c r="A734" s="2"/>
      <c r="B734" s="1"/>
      <c r="C734" s="1"/>
      <c r="D734" s="1"/>
      <c r="E734" s="1"/>
      <c r="F734" s="1"/>
      <c r="G734" s="1"/>
      <c r="H734" s="1"/>
      <c r="I734" s="11"/>
    </row>
    <row r="735" spans="1:9">
      <c r="A735" s="2"/>
      <c r="B735" s="1"/>
      <c r="C735" s="1"/>
      <c r="D735" s="1"/>
      <c r="E735" s="1"/>
      <c r="F735" s="1"/>
      <c r="G735" s="1"/>
      <c r="H735" s="1"/>
      <c r="I735" s="11"/>
    </row>
    <row r="736" spans="1:9">
      <c r="A736" s="2"/>
      <c r="B736" s="1"/>
      <c r="C736" s="1"/>
      <c r="D736" s="1"/>
      <c r="E736" s="1"/>
      <c r="F736" s="1"/>
      <c r="G736" s="1"/>
      <c r="H736" s="1"/>
      <c r="I736" s="11"/>
    </row>
    <row r="737" spans="1:9">
      <c r="A737" s="2"/>
      <c r="B737" s="1"/>
      <c r="C737" s="1"/>
      <c r="D737" s="1"/>
      <c r="E737" s="1"/>
      <c r="F737" s="1"/>
      <c r="G737" s="1"/>
      <c r="H737" s="1"/>
      <c r="I737" s="11"/>
    </row>
    <row r="738" spans="1:9">
      <c r="A738" s="2"/>
      <c r="B738" s="1"/>
      <c r="C738" s="1"/>
      <c r="D738" s="1"/>
      <c r="E738" s="1"/>
      <c r="F738" s="1"/>
      <c r="G738" s="1"/>
      <c r="H738" s="1"/>
      <c r="I738" s="11"/>
    </row>
    <row r="739" spans="1:9">
      <c r="A739" s="2"/>
      <c r="B739" s="1"/>
      <c r="C739" s="1"/>
      <c r="D739" s="1"/>
      <c r="E739" s="1"/>
      <c r="F739" s="1"/>
      <c r="G739" s="1"/>
      <c r="H739" s="1"/>
      <c r="I739" s="11"/>
    </row>
    <row r="740" spans="1:9">
      <c r="A740" s="2"/>
      <c r="B740" s="1"/>
      <c r="C740" s="1"/>
      <c r="D740" s="1"/>
      <c r="E740" s="1"/>
      <c r="F740" s="1"/>
      <c r="G740" s="1"/>
      <c r="H740" s="1"/>
      <c r="I740" s="11"/>
    </row>
    <row r="741" spans="1:9">
      <c r="A741" s="2"/>
      <c r="B741" s="1"/>
      <c r="C741" s="1"/>
      <c r="D741" s="1"/>
      <c r="E741" s="1"/>
      <c r="F741" s="1"/>
      <c r="G741" s="1"/>
      <c r="H741" s="1"/>
      <c r="I741" s="11"/>
    </row>
    <row r="742" spans="1:9">
      <c r="A742" s="2"/>
      <c r="B742" s="1"/>
      <c r="C742" s="1"/>
      <c r="D742" s="1"/>
      <c r="E742" s="1"/>
      <c r="F742" s="1"/>
      <c r="G742" s="1"/>
      <c r="H742" s="1"/>
      <c r="I742" s="11"/>
    </row>
    <row r="743" spans="1:9">
      <c r="A743" s="2"/>
      <c r="B743" s="1"/>
      <c r="C743" s="1"/>
      <c r="D743" s="1"/>
      <c r="E743" s="1"/>
      <c r="F743" s="1"/>
      <c r="G743" s="1"/>
      <c r="H743" s="1"/>
      <c r="I743" s="11"/>
    </row>
    <row r="744" spans="1:9">
      <c r="A744" s="2"/>
      <c r="B744" s="1"/>
      <c r="C744" s="1"/>
      <c r="D744" s="1"/>
      <c r="E744" s="1"/>
      <c r="F744" s="1"/>
      <c r="G744" s="1"/>
      <c r="H744" s="1"/>
      <c r="I744" s="11"/>
    </row>
    <row r="745" spans="1:9">
      <c r="A745" s="2"/>
      <c r="B745" s="1"/>
      <c r="C745" s="1"/>
      <c r="D745" s="1"/>
      <c r="E745" s="1"/>
      <c r="F745" s="1"/>
      <c r="G745" s="1"/>
      <c r="H745" s="1"/>
      <c r="I745" s="11"/>
    </row>
    <row r="746" spans="1:9">
      <c r="A746" s="2"/>
      <c r="B746" s="1"/>
      <c r="C746" s="1"/>
      <c r="D746" s="1"/>
      <c r="E746" s="1"/>
      <c r="F746" s="1"/>
      <c r="G746" s="1"/>
      <c r="H746" s="1"/>
      <c r="I746" s="11"/>
    </row>
    <row r="747" spans="1:9">
      <c r="A747" s="2"/>
      <c r="B747" s="1"/>
      <c r="C747" s="1"/>
      <c r="D747" s="1"/>
      <c r="E747" s="1"/>
      <c r="F747" s="1"/>
      <c r="G747" s="1"/>
      <c r="H747" s="1"/>
      <c r="I747" s="11"/>
    </row>
    <row r="748" spans="1:9">
      <c r="A748" s="2"/>
      <c r="B748" s="1"/>
      <c r="C748" s="1"/>
      <c r="D748" s="1"/>
      <c r="E748" s="1"/>
      <c r="F748" s="1"/>
      <c r="G748" s="1"/>
      <c r="H748" s="1"/>
      <c r="I748" s="11"/>
    </row>
    <row r="749" spans="1:9">
      <c r="A749" s="2"/>
      <c r="B749" s="1"/>
      <c r="C749" s="1"/>
      <c r="D749" s="1"/>
      <c r="E749" s="1"/>
      <c r="F749" s="1"/>
      <c r="G749" s="1"/>
      <c r="H749" s="1"/>
      <c r="I749" s="11"/>
    </row>
    <row r="750" spans="1:9">
      <c r="A750" s="2"/>
      <c r="B750" s="1"/>
      <c r="C750" s="1"/>
      <c r="D750" s="1"/>
      <c r="E750" s="1"/>
      <c r="F750" s="1"/>
      <c r="G750" s="1"/>
      <c r="H750" s="1"/>
      <c r="I750" s="11"/>
    </row>
    <row r="751" spans="1:9">
      <c r="A751" s="2"/>
      <c r="B751" s="1"/>
      <c r="C751" s="1"/>
      <c r="D751" s="1"/>
      <c r="E751" s="1"/>
      <c r="F751" s="1"/>
      <c r="G751" s="1"/>
      <c r="H751" s="1"/>
      <c r="I751" s="11"/>
    </row>
    <row r="752" spans="1:9">
      <c r="A752" s="2"/>
      <c r="B752" s="1"/>
      <c r="C752" s="1"/>
      <c r="D752" s="1"/>
      <c r="E752" s="1"/>
      <c r="F752" s="1"/>
      <c r="G752" s="1"/>
      <c r="H752" s="1"/>
      <c r="I752" s="11"/>
    </row>
    <row r="753" spans="1:9">
      <c r="A753" s="2"/>
      <c r="B753" s="1"/>
      <c r="C753" s="1"/>
      <c r="D753" s="1"/>
      <c r="E753" s="1"/>
      <c r="F753" s="1"/>
      <c r="G753" s="1"/>
      <c r="H753" s="1"/>
      <c r="I753" s="11"/>
    </row>
    <row r="754" spans="1:9">
      <c r="A754" s="2"/>
      <c r="B754" s="1"/>
      <c r="C754" s="1"/>
      <c r="D754" s="1"/>
      <c r="E754" s="1"/>
      <c r="F754" s="1"/>
      <c r="G754" s="1"/>
      <c r="H754" s="1"/>
      <c r="I754" s="11"/>
    </row>
    <row r="755" spans="1:9">
      <c r="A755" s="2"/>
      <c r="B755" s="1"/>
      <c r="C755" s="1"/>
      <c r="D755" s="1"/>
      <c r="E755" s="1"/>
      <c r="F755" s="1"/>
      <c r="G755" s="1"/>
      <c r="H755" s="1"/>
      <c r="I755" s="11"/>
    </row>
    <row r="756" spans="1:9">
      <c r="A756" s="2"/>
      <c r="B756" s="1"/>
      <c r="C756" s="1"/>
      <c r="D756" s="1"/>
      <c r="E756" s="1"/>
      <c r="F756" s="1"/>
      <c r="G756" s="1"/>
      <c r="H756" s="1"/>
      <c r="I756" s="11"/>
    </row>
    <row r="757" spans="1:9">
      <c r="A757" s="2"/>
      <c r="B757" s="1"/>
      <c r="C757" s="1"/>
      <c r="D757" s="1"/>
      <c r="E757" s="1"/>
      <c r="F757" s="1"/>
      <c r="G757" s="1"/>
      <c r="H757" s="1"/>
      <c r="I757" s="11"/>
    </row>
    <row r="758" spans="1:9">
      <c r="A758" s="2"/>
      <c r="B758" s="1"/>
      <c r="C758" s="1"/>
      <c r="D758" s="1"/>
      <c r="E758" s="1"/>
      <c r="F758" s="1"/>
      <c r="G758" s="1"/>
      <c r="H758" s="1"/>
      <c r="I758" s="11"/>
    </row>
    <row r="759" spans="1:9">
      <c r="A759" s="2"/>
      <c r="B759" s="1"/>
      <c r="C759" s="1"/>
      <c r="D759" s="1"/>
      <c r="E759" s="1"/>
      <c r="F759" s="1"/>
      <c r="G759" s="1"/>
      <c r="H759" s="1"/>
      <c r="I759" s="11"/>
    </row>
    <row r="760" spans="1:9">
      <c r="A760" s="2"/>
      <c r="B760" s="1"/>
      <c r="C760" s="1"/>
      <c r="D760" s="1"/>
      <c r="E760" s="1"/>
      <c r="F760" s="1"/>
      <c r="G760" s="1"/>
      <c r="H760" s="1"/>
      <c r="I760" s="11"/>
    </row>
    <row r="761" spans="1:9">
      <c r="A761" s="2"/>
      <c r="B761" s="1"/>
      <c r="C761" s="1"/>
      <c r="D761" s="1"/>
      <c r="E761" s="1"/>
      <c r="F761" s="1"/>
      <c r="G761" s="1"/>
      <c r="H761" s="1"/>
      <c r="I761" s="11"/>
    </row>
    <row r="762" spans="1:9">
      <c r="A762" s="2"/>
      <c r="B762" s="1"/>
      <c r="C762" s="1"/>
      <c r="D762" s="1"/>
      <c r="E762" s="1"/>
      <c r="F762" s="1"/>
      <c r="G762" s="1"/>
      <c r="H762" s="1"/>
      <c r="I762" s="11"/>
    </row>
    <row r="763" spans="1:9">
      <c r="A763" s="2"/>
      <c r="B763" s="1"/>
      <c r="C763" s="1"/>
      <c r="D763" s="1"/>
      <c r="E763" s="1"/>
      <c r="F763" s="1"/>
      <c r="G763" s="1"/>
      <c r="H763" s="1"/>
      <c r="I763" s="11"/>
    </row>
    <row r="764" spans="1:9">
      <c r="A764" s="2"/>
      <c r="B764" s="1"/>
      <c r="C764" s="1"/>
      <c r="D764" s="1"/>
      <c r="E764" s="1"/>
      <c r="F764" s="1"/>
      <c r="G764" s="1"/>
      <c r="H764" s="1"/>
      <c r="I764" s="11"/>
    </row>
    <row r="765" spans="1:9">
      <c r="A765" s="2"/>
      <c r="B765" s="1"/>
      <c r="C765" s="1"/>
      <c r="D765" s="1"/>
      <c r="E765" s="1"/>
      <c r="F765" s="1"/>
      <c r="G765" s="1"/>
      <c r="H765" s="1"/>
      <c r="I765" s="11"/>
    </row>
    <row r="766" spans="1:9">
      <c r="A766" s="2"/>
      <c r="B766" s="1"/>
      <c r="C766" s="1"/>
      <c r="D766" s="1"/>
      <c r="E766" s="1"/>
      <c r="F766" s="1"/>
      <c r="G766" s="1"/>
      <c r="H766" s="1"/>
      <c r="I766" s="11"/>
    </row>
    <row r="767" spans="1:9">
      <c r="A767" s="2"/>
      <c r="B767" s="1"/>
      <c r="C767" s="1"/>
      <c r="D767" s="1"/>
      <c r="E767" s="1"/>
      <c r="F767" s="1"/>
      <c r="G767" s="1"/>
      <c r="H767" s="1"/>
      <c r="I767" s="11"/>
    </row>
    <row r="768" spans="1:9">
      <c r="A768" s="2"/>
      <c r="B768" s="1"/>
      <c r="C768" s="1"/>
      <c r="D768" s="1"/>
      <c r="E768" s="1"/>
      <c r="F768" s="1"/>
      <c r="G768" s="1"/>
      <c r="H768" s="1"/>
      <c r="I768" s="11"/>
    </row>
    <row r="769" spans="1:9">
      <c r="A769" s="2"/>
      <c r="B769" s="1"/>
      <c r="C769" s="1"/>
      <c r="D769" s="1"/>
      <c r="E769" s="1"/>
      <c r="F769" s="1"/>
      <c r="G769" s="1"/>
      <c r="H769" s="1"/>
      <c r="I769" s="11"/>
    </row>
    <row r="770" spans="1:9">
      <c r="A770" s="2"/>
      <c r="B770" s="1"/>
      <c r="C770" s="1"/>
      <c r="D770" s="1"/>
      <c r="E770" s="1"/>
      <c r="F770" s="1"/>
      <c r="G770" s="1"/>
      <c r="H770" s="1"/>
      <c r="I770" s="11"/>
    </row>
    <row r="771" spans="1:9">
      <c r="A771" s="2"/>
      <c r="B771" s="1"/>
      <c r="C771" s="1"/>
      <c r="D771" s="1"/>
      <c r="E771" s="1"/>
      <c r="F771" s="1"/>
      <c r="G771" s="1"/>
      <c r="H771" s="1"/>
      <c r="I771" s="11"/>
    </row>
    <row r="772" spans="1:9">
      <c r="A772" s="2"/>
      <c r="B772" s="1"/>
      <c r="C772" s="1"/>
      <c r="D772" s="1"/>
      <c r="E772" s="1"/>
      <c r="F772" s="1"/>
      <c r="G772" s="1"/>
      <c r="H772" s="1"/>
      <c r="I772" s="11"/>
    </row>
    <row r="773" spans="1:9">
      <c r="A773" s="2"/>
      <c r="B773" s="1"/>
      <c r="C773" s="1"/>
      <c r="D773" s="1"/>
      <c r="E773" s="1"/>
      <c r="F773" s="1"/>
      <c r="G773" s="1"/>
      <c r="H773" s="1"/>
      <c r="I773" s="11"/>
    </row>
    <row r="774" spans="1:9">
      <c r="A774" s="2"/>
      <c r="B774" s="1"/>
      <c r="C774" s="1"/>
      <c r="D774" s="1"/>
      <c r="E774" s="1"/>
      <c r="F774" s="1"/>
      <c r="G774" s="1"/>
      <c r="H774" s="1"/>
      <c r="I774" s="11"/>
    </row>
    <row r="775" spans="1:9">
      <c r="A775" s="2"/>
      <c r="B775" s="1"/>
      <c r="C775" s="1"/>
      <c r="D775" s="1"/>
      <c r="E775" s="1"/>
      <c r="F775" s="1"/>
      <c r="G775" s="1"/>
      <c r="H775" s="1"/>
      <c r="I775" s="11"/>
    </row>
    <row r="776" spans="1:9">
      <c r="A776" s="2"/>
      <c r="B776" s="1"/>
      <c r="C776" s="1"/>
      <c r="D776" s="1"/>
      <c r="E776" s="1"/>
      <c r="F776" s="1"/>
      <c r="G776" s="1"/>
      <c r="H776" s="1"/>
      <c r="I776" s="11"/>
    </row>
    <row r="777" spans="1:9">
      <c r="A777" s="2"/>
      <c r="B777" s="1"/>
      <c r="C777" s="1"/>
      <c r="D777" s="1"/>
      <c r="E777" s="1"/>
      <c r="F777" s="1"/>
      <c r="G777" s="1"/>
      <c r="H777" s="1"/>
      <c r="I777" s="11"/>
    </row>
    <row r="778" spans="1:9">
      <c r="A778" s="2"/>
      <c r="B778" s="1"/>
      <c r="C778" s="1"/>
      <c r="D778" s="1"/>
      <c r="E778" s="1"/>
      <c r="F778" s="1"/>
      <c r="G778" s="1"/>
      <c r="H778" s="1"/>
      <c r="I778" s="11"/>
    </row>
    <row r="779" spans="1:9">
      <c r="A779" s="2"/>
      <c r="B779" s="1"/>
      <c r="C779" s="1"/>
      <c r="D779" s="1"/>
      <c r="E779" s="1"/>
      <c r="F779" s="1"/>
      <c r="G779" s="1"/>
      <c r="H779" s="1"/>
      <c r="I779" s="11"/>
    </row>
    <row r="780" spans="1:9">
      <c r="A780" s="2"/>
      <c r="B780" s="1"/>
      <c r="C780" s="1"/>
      <c r="D780" s="1"/>
      <c r="E780" s="1"/>
      <c r="F780" s="1"/>
      <c r="G780" s="1"/>
      <c r="H780" s="1"/>
      <c r="I780" s="11"/>
    </row>
    <row r="781" spans="1:9">
      <c r="A781" s="2"/>
      <c r="B781" s="1"/>
      <c r="C781" s="1"/>
      <c r="D781" s="1"/>
      <c r="E781" s="1"/>
      <c r="F781" s="1"/>
      <c r="G781" s="1"/>
      <c r="H781" s="1"/>
      <c r="I781" s="11"/>
    </row>
    <row r="782" spans="1:9">
      <c r="A782" s="2"/>
      <c r="B782" s="1"/>
      <c r="C782" s="1"/>
      <c r="D782" s="1"/>
      <c r="E782" s="1"/>
      <c r="F782" s="1"/>
      <c r="G782" s="1"/>
      <c r="H782" s="1"/>
      <c r="I782" s="11"/>
    </row>
    <row r="783" spans="1:9">
      <c r="A783" s="2"/>
      <c r="B783" s="1"/>
      <c r="C783" s="1"/>
      <c r="D783" s="1"/>
      <c r="E783" s="1"/>
      <c r="F783" s="1"/>
      <c r="G783" s="1"/>
      <c r="H783" s="1"/>
      <c r="I783" s="11"/>
    </row>
    <row r="784" spans="1:9">
      <c r="A784" s="2"/>
      <c r="B784" s="1"/>
      <c r="C784" s="1"/>
      <c r="D784" s="1"/>
      <c r="E784" s="1"/>
      <c r="F784" s="1"/>
      <c r="G784" s="1"/>
      <c r="H784" s="1"/>
      <c r="I784" s="11"/>
    </row>
    <row r="785" spans="1:9">
      <c r="A785" s="2"/>
      <c r="B785" s="1"/>
      <c r="C785" s="1"/>
      <c r="D785" s="1"/>
      <c r="E785" s="1"/>
      <c r="F785" s="1"/>
      <c r="G785" s="1"/>
      <c r="H785" s="1"/>
      <c r="I785" s="11"/>
    </row>
    <row r="786" spans="1:9">
      <c r="A786" s="2"/>
      <c r="B786" s="1"/>
      <c r="C786" s="1"/>
      <c r="D786" s="1"/>
      <c r="E786" s="1"/>
      <c r="F786" s="1"/>
      <c r="G786" s="1"/>
      <c r="H786" s="1"/>
      <c r="I786" s="11"/>
    </row>
    <row r="787" spans="1:9">
      <c r="A787" s="2"/>
      <c r="B787" s="1"/>
      <c r="C787" s="1"/>
      <c r="D787" s="1"/>
      <c r="E787" s="1"/>
      <c r="F787" s="1"/>
      <c r="G787" s="1"/>
      <c r="H787" s="1"/>
      <c r="I787" s="11"/>
    </row>
    <row r="788" spans="1:9">
      <c r="A788" s="2"/>
      <c r="B788" s="1"/>
      <c r="C788" s="1"/>
      <c r="D788" s="1"/>
      <c r="E788" s="1"/>
      <c r="F788" s="1"/>
      <c r="G788" s="1"/>
      <c r="H788" s="1"/>
      <c r="I788" s="11"/>
    </row>
    <row r="789" spans="1:9">
      <c r="A789" s="2"/>
      <c r="B789" s="1"/>
      <c r="C789" s="1"/>
      <c r="D789" s="1"/>
      <c r="E789" s="1"/>
      <c r="F789" s="1"/>
      <c r="G789" s="1"/>
      <c r="H789" s="1"/>
      <c r="I789" s="11"/>
    </row>
    <row r="790" spans="1:9">
      <c r="A790" s="2"/>
      <c r="B790" s="1"/>
      <c r="C790" s="1"/>
      <c r="D790" s="1"/>
      <c r="E790" s="1"/>
      <c r="F790" s="1"/>
      <c r="G790" s="1"/>
      <c r="H790" s="1"/>
      <c r="I790" s="11"/>
    </row>
    <row r="791" spans="1:9">
      <c r="A791" s="2"/>
      <c r="B791" s="1"/>
      <c r="C791" s="1"/>
      <c r="D791" s="1"/>
      <c r="E791" s="1"/>
      <c r="F791" s="1"/>
      <c r="G791" s="1"/>
      <c r="H791" s="1"/>
      <c r="I791" s="11"/>
    </row>
    <row r="792" spans="1:9">
      <c r="A792" s="2"/>
      <c r="B792" s="1"/>
      <c r="C792" s="1"/>
      <c r="D792" s="1"/>
      <c r="E792" s="1"/>
      <c r="F792" s="1"/>
      <c r="G792" s="1"/>
      <c r="H792" s="1"/>
      <c r="I792" s="11"/>
    </row>
    <row r="793" spans="1:9">
      <c r="A793" s="2"/>
      <c r="B793" s="1"/>
      <c r="C793" s="1"/>
      <c r="D793" s="1"/>
      <c r="E793" s="1"/>
      <c r="F793" s="1"/>
      <c r="G793" s="1"/>
      <c r="H793" s="1"/>
      <c r="I793" s="11"/>
    </row>
    <row r="794" spans="1:9">
      <c r="A794" s="2"/>
      <c r="B794" s="1"/>
      <c r="C794" s="1"/>
      <c r="D794" s="1"/>
      <c r="E794" s="1"/>
      <c r="F794" s="1"/>
      <c r="G794" s="1"/>
      <c r="H794" s="1"/>
      <c r="I794" s="11"/>
    </row>
    <row r="795" spans="1:9">
      <c r="A795" s="2"/>
      <c r="B795" s="1"/>
      <c r="C795" s="1"/>
      <c r="D795" s="1"/>
      <c r="E795" s="1"/>
      <c r="F795" s="1"/>
      <c r="G795" s="1"/>
      <c r="H795" s="1"/>
      <c r="I795" s="11"/>
    </row>
    <row r="796" spans="1:9">
      <c r="A796" s="2"/>
      <c r="B796" s="1"/>
      <c r="C796" s="1"/>
      <c r="D796" s="1"/>
      <c r="E796" s="1"/>
      <c r="F796" s="1"/>
      <c r="G796" s="1"/>
      <c r="H796" s="1"/>
      <c r="I796" s="11"/>
    </row>
    <row r="797" spans="1:9">
      <c r="A797" s="2"/>
      <c r="B797" s="1"/>
      <c r="C797" s="1"/>
      <c r="D797" s="1"/>
      <c r="E797" s="1"/>
      <c r="F797" s="1"/>
      <c r="G797" s="1"/>
      <c r="H797" s="1"/>
      <c r="I797" s="11"/>
    </row>
    <row r="798" spans="1:9">
      <c r="A798" s="2"/>
      <c r="B798" s="1"/>
      <c r="C798" s="1"/>
      <c r="D798" s="1"/>
      <c r="E798" s="1"/>
      <c r="F798" s="1"/>
      <c r="G798" s="1"/>
      <c r="H798" s="1"/>
      <c r="I798" s="11"/>
    </row>
    <row r="799" spans="1:9">
      <c r="A799" s="2"/>
      <c r="B799" s="1"/>
      <c r="C799" s="1"/>
      <c r="D799" s="1"/>
      <c r="E799" s="1"/>
      <c r="F799" s="1"/>
      <c r="G799" s="1"/>
      <c r="H799" s="1"/>
      <c r="I799" s="11"/>
    </row>
    <row r="800" spans="1:9">
      <c r="A800" s="2"/>
      <c r="B800" s="1"/>
      <c r="C800" s="1"/>
      <c r="D800" s="1"/>
      <c r="E800" s="1"/>
      <c r="F800" s="1"/>
      <c r="G800" s="1"/>
      <c r="H800" s="1"/>
      <c r="I800" s="11"/>
    </row>
    <row r="801" spans="1:9">
      <c r="A801" s="2"/>
      <c r="B801" s="1"/>
      <c r="C801" s="1"/>
      <c r="D801" s="1"/>
      <c r="E801" s="1"/>
      <c r="F801" s="1"/>
      <c r="G801" s="1"/>
      <c r="H801" s="1"/>
      <c r="I801" s="11"/>
    </row>
    <row r="802" spans="1:9">
      <c r="A802" s="2"/>
      <c r="B802" s="1"/>
      <c r="C802" s="1"/>
      <c r="D802" s="1"/>
      <c r="E802" s="1"/>
      <c r="F802" s="1"/>
      <c r="G802" s="1"/>
      <c r="H802" s="1"/>
      <c r="I802" s="11"/>
    </row>
    <row r="803" spans="1:9">
      <c r="A803" s="2"/>
      <c r="B803" s="1"/>
      <c r="C803" s="1"/>
      <c r="D803" s="1"/>
      <c r="E803" s="1"/>
      <c r="F803" s="1"/>
      <c r="G803" s="1"/>
      <c r="H803" s="1"/>
      <c r="I803" s="11"/>
    </row>
    <row r="804" spans="1:9">
      <c r="A804" s="2"/>
      <c r="B804" s="1"/>
      <c r="C804" s="1"/>
      <c r="D804" s="1"/>
      <c r="E804" s="1"/>
      <c r="F804" s="1"/>
      <c r="G804" s="1"/>
      <c r="H804" s="1"/>
      <c r="I804" s="11"/>
    </row>
    <row r="805" spans="1:9">
      <c r="A805" s="2"/>
      <c r="B805" s="1"/>
      <c r="C805" s="1"/>
      <c r="D805" s="1"/>
      <c r="E805" s="1"/>
      <c r="F805" s="1"/>
      <c r="G805" s="1"/>
      <c r="H805" s="1"/>
      <c r="I805" s="11"/>
    </row>
    <row r="806" spans="1:9">
      <c r="A806" s="2"/>
      <c r="B806" s="1"/>
      <c r="C806" s="1"/>
      <c r="D806" s="1"/>
      <c r="E806" s="1"/>
      <c r="F806" s="1"/>
      <c r="G806" s="1"/>
      <c r="H806" s="1"/>
      <c r="I806" s="11"/>
    </row>
    <row r="807" spans="1:9">
      <c r="A807" s="2"/>
      <c r="B807" s="1"/>
      <c r="C807" s="1"/>
      <c r="D807" s="1"/>
      <c r="E807" s="1"/>
      <c r="F807" s="1"/>
      <c r="G807" s="1"/>
      <c r="H807" s="1"/>
      <c r="I807" s="11"/>
    </row>
    <row r="808" spans="1:9">
      <c r="A808" s="2"/>
      <c r="B808" s="1"/>
      <c r="C808" s="1"/>
      <c r="D808" s="1"/>
      <c r="E808" s="1"/>
      <c r="F808" s="1"/>
      <c r="G808" s="1"/>
      <c r="H808" s="1"/>
      <c r="I808" s="11"/>
    </row>
    <row r="809" spans="1:9">
      <c r="A809" s="2"/>
      <c r="B809" s="1"/>
      <c r="C809" s="1"/>
      <c r="D809" s="1"/>
      <c r="E809" s="1"/>
      <c r="F809" s="1"/>
      <c r="G809" s="1"/>
      <c r="H809" s="1"/>
      <c r="I809" s="11"/>
    </row>
    <row r="810" spans="1:9">
      <c r="A810" s="2"/>
      <c r="B810" s="1"/>
      <c r="C810" s="1"/>
      <c r="D810" s="1"/>
      <c r="E810" s="1"/>
      <c r="F810" s="1"/>
      <c r="G810" s="1"/>
      <c r="H810" s="1"/>
      <c r="I810" s="11"/>
    </row>
    <row r="811" spans="1:9">
      <c r="A811" s="2"/>
      <c r="B811" s="1"/>
      <c r="C811" s="1"/>
      <c r="D811" s="1"/>
      <c r="E811" s="1"/>
      <c r="F811" s="1"/>
      <c r="G811" s="1"/>
      <c r="H811" s="1"/>
      <c r="I811" s="11"/>
    </row>
    <row r="812" spans="1:9">
      <c r="A812" s="2"/>
      <c r="B812" s="1"/>
      <c r="C812" s="1"/>
      <c r="D812" s="1"/>
      <c r="E812" s="1"/>
      <c r="F812" s="1"/>
      <c r="G812" s="1"/>
      <c r="H812" s="1"/>
      <c r="I812" s="11"/>
    </row>
    <row r="813" spans="1:9">
      <c r="A813" s="2"/>
      <c r="B813" s="1"/>
      <c r="C813" s="1"/>
      <c r="D813" s="1"/>
      <c r="E813" s="1"/>
      <c r="F813" s="1"/>
      <c r="G813" s="1"/>
      <c r="H813" s="1"/>
      <c r="I813" s="11"/>
    </row>
    <row r="814" spans="1:9">
      <c r="A814" s="2"/>
      <c r="B814" s="1"/>
      <c r="C814" s="1"/>
      <c r="D814" s="1"/>
      <c r="E814" s="1"/>
      <c r="F814" s="1"/>
      <c r="G814" s="1"/>
      <c r="H814" s="1"/>
      <c r="I814" s="11"/>
    </row>
    <row r="815" spans="1:9">
      <c r="A815" s="2"/>
      <c r="B815" s="1"/>
      <c r="C815" s="1"/>
      <c r="D815" s="1"/>
      <c r="E815" s="1"/>
      <c r="F815" s="1"/>
      <c r="G815" s="1"/>
      <c r="H815" s="1"/>
      <c r="I815" s="11"/>
    </row>
    <row r="816" spans="1:9">
      <c r="A816" s="2"/>
      <c r="B816" s="1"/>
      <c r="C816" s="1"/>
      <c r="D816" s="1"/>
      <c r="E816" s="1"/>
      <c r="F816" s="1"/>
      <c r="G816" s="1"/>
      <c r="H816" s="1"/>
      <c r="I816" s="11"/>
    </row>
    <row r="817" spans="1:9">
      <c r="A817" s="2"/>
      <c r="B817" s="1"/>
      <c r="C817" s="1"/>
      <c r="D817" s="1"/>
      <c r="E817" s="1"/>
      <c r="F817" s="1"/>
      <c r="G817" s="1"/>
      <c r="H817" s="1"/>
      <c r="I817" s="11"/>
    </row>
    <row r="818" spans="1:9">
      <c r="A818" s="2"/>
      <c r="B818" s="1"/>
      <c r="C818" s="1"/>
      <c r="D818" s="1"/>
      <c r="E818" s="1"/>
      <c r="F818" s="1"/>
      <c r="G818" s="1"/>
      <c r="H818" s="1"/>
      <c r="I818" s="11"/>
    </row>
    <row r="819" spans="1:9">
      <c r="A819" s="2"/>
      <c r="B819" s="1"/>
      <c r="C819" s="1"/>
      <c r="D819" s="1"/>
      <c r="E819" s="1"/>
      <c r="F819" s="1"/>
      <c r="G819" s="1"/>
      <c r="H819" s="1"/>
      <c r="I819" s="11"/>
    </row>
    <row r="820" spans="1:9">
      <c r="A820" s="2"/>
      <c r="B820" s="1"/>
      <c r="C820" s="1"/>
      <c r="D820" s="1"/>
      <c r="E820" s="1"/>
      <c r="F820" s="1"/>
      <c r="G820" s="1"/>
      <c r="H820" s="1"/>
      <c r="I820" s="11"/>
    </row>
    <row r="821" spans="1:9">
      <c r="A821" s="2"/>
      <c r="B821" s="1"/>
      <c r="C821" s="1"/>
      <c r="D821" s="1"/>
      <c r="E821" s="1"/>
      <c r="F821" s="1"/>
      <c r="G821" s="1"/>
      <c r="H821" s="1"/>
      <c r="I821" s="11"/>
    </row>
    <row r="822" spans="1:9">
      <c r="A822" s="2"/>
      <c r="B822" s="1"/>
      <c r="C822" s="1"/>
      <c r="D822" s="1"/>
      <c r="E822" s="1"/>
      <c r="F822" s="1"/>
      <c r="G822" s="1"/>
      <c r="H822" s="1"/>
      <c r="I822" s="11"/>
    </row>
    <row r="823" spans="1:9">
      <c r="A823" s="2"/>
      <c r="B823" s="1"/>
      <c r="C823" s="1"/>
      <c r="D823" s="1"/>
      <c r="E823" s="1"/>
      <c r="F823" s="1"/>
      <c r="G823" s="1"/>
      <c r="H823" s="1"/>
      <c r="I823" s="11"/>
    </row>
    <row r="824" spans="1:9">
      <c r="A824" s="2"/>
      <c r="B824" s="1"/>
      <c r="C824" s="1"/>
      <c r="D824" s="1"/>
      <c r="E824" s="1"/>
      <c r="F824" s="1"/>
      <c r="G824" s="1"/>
      <c r="H824" s="1"/>
      <c r="I824" s="11"/>
    </row>
    <row r="825" spans="1:9">
      <c r="A825" s="2"/>
      <c r="B825" s="1"/>
      <c r="C825" s="1"/>
      <c r="D825" s="1"/>
      <c r="E825" s="1"/>
      <c r="F825" s="1"/>
      <c r="G825" s="1"/>
      <c r="H825" s="1"/>
      <c r="I825" s="11"/>
    </row>
    <row r="826" spans="1:9">
      <c r="A826" s="2"/>
      <c r="B826" s="1"/>
      <c r="C826" s="1"/>
      <c r="D826" s="1"/>
      <c r="E826" s="1"/>
      <c r="F826" s="1"/>
      <c r="G826" s="1"/>
      <c r="H826" s="1"/>
      <c r="I826" s="11"/>
    </row>
    <row r="827" spans="1:9">
      <c r="A827" s="2"/>
      <c r="B827" s="1"/>
      <c r="C827" s="1"/>
      <c r="D827" s="1"/>
      <c r="E827" s="1"/>
      <c r="F827" s="1"/>
      <c r="G827" s="1"/>
      <c r="H827" s="1"/>
      <c r="I827" s="11"/>
    </row>
    <row r="828" spans="1:9">
      <c r="A828" s="2"/>
      <c r="B828" s="1"/>
      <c r="C828" s="1"/>
      <c r="D828" s="1"/>
      <c r="E828" s="1"/>
      <c r="F828" s="1"/>
      <c r="G828" s="1"/>
      <c r="H828" s="1"/>
      <c r="I828" s="11"/>
    </row>
    <row r="829" spans="1:9">
      <c r="A829" s="2"/>
      <c r="B829" s="1"/>
      <c r="C829" s="1"/>
      <c r="D829" s="1"/>
      <c r="E829" s="1"/>
      <c r="F829" s="1"/>
      <c r="G829" s="1"/>
      <c r="H829" s="1"/>
      <c r="I829" s="11"/>
    </row>
    <row r="830" spans="1:9">
      <c r="A830" s="2"/>
      <c r="B830" s="1"/>
      <c r="C830" s="1"/>
      <c r="D830" s="1"/>
      <c r="E830" s="1"/>
      <c r="F830" s="1"/>
      <c r="G830" s="1"/>
      <c r="H830" s="1"/>
      <c r="I830" s="11"/>
    </row>
    <row r="831" spans="1:9">
      <c r="A831" s="2"/>
      <c r="B831" s="1"/>
      <c r="C831" s="1"/>
      <c r="D831" s="1"/>
      <c r="E831" s="1"/>
      <c r="F831" s="1"/>
      <c r="G831" s="1"/>
      <c r="H831" s="1"/>
      <c r="I831" s="11"/>
    </row>
    <row r="832" spans="1:9">
      <c r="A832" s="2"/>
      <c r="B832" s="1"/>
      <c r="C832" s="1"/>
      <c r="D832" s="1"/>
      <c r="E832" s="1"/>
      <c r="F832" s="1"/>
      <c r="G832" s="1"/>
      <c r="H832" s="1"/>
      <c r="I832" s="11"/>
    </row>
    <row r="833" spans="1:9">
      <c r="A833" s="2"/>
      <c r="B833" s="1"/>
      <c r="C833" s="1"/>
      <c r="D833" s="1"/>
      <c r="E833" s="1"/>
      <c r="F833" s="1"/>
      <c r="G833" s="1"/>
      <c r="H833" s="1"/>
      <c r="I833" s="11"/>
    </row>
    <row r="834" spans="1:9">
      <c r="A834" s="2"/>
      <c r="B834" s="1"/>
      <c r="C834" s="1"/>
      <c r="D834" s="1"/>
      <c r="E834" s="1"/>
      <c r="F834" s="1"/>
      <c r="G834" s="1"/>
      <c r="H834" s="1"/>
      <c r="I834" s="11"/>
    </row>
    <row r="835" spans="1:9">
      <c r="A835" s="2"/>
      <c r="B835" s="1"/>
      <c r="C835" s="1"/>
      <c r="D835" s="1"/>
      <c r="E835" s="1"/>
      <c r="F835" s="1"/>
      <c r="G835" s="1"/>
      <c r="H835" s="1"/>
      <c r="I835" s="11"/>
    </row>
    <row r="836" spans="1:9">
      <c r="A836" s="2"/>
      <c r="B836" s="1"/>
      <c r="C836" s="1"/>
      <c r="D836" s="1"/>
      <c r="E836" s="1"/>
      <c r="F836" s="1"/>
      <c r="G836" s="1"/>
      <c r="H836" s="1"/>
      <c r="I836" s="11"/>
    </row>
    <row r="837" spans="1:9">
      <c r="A837" s="2"/>
      <c r="B837" s="1"/>
      <c r="C837" s="1"/>
      <c r="D837" s="1"/>
      <c r="E837" s="1"/>
      <c r="F837" s="1"/>
      <c r="G837" s="1"/>
      <c r="H837" s="1"/>
      <c r="I837" s="11"/>
    </row>
    <row r="838" spans="1:9">
      <c r="A838" s="2"/>
      <c r="B838" s="1"/>
      <c r="C838" s="1"/>
      <c r="D838" s="1"/>
      <c r="E838" s="1"/>
      <c r="F838" s="1"/>
      <c r="G838" s="1"/>
      <c r="H838" s="1"/>
      <c r="I838" s="11"/>
    </row>
    <row r="839" spans="1:9">
      <c r="A839" s="2"/>
      <c r="B839" s="1"/>
      <c r="C839" s="1"/>
      <c r="D839" s="1"/>
      <c r="E839" s="1"/>
      <c r="F839" s="1"/>
      <c r="G839" s="1"/>
      <c r="H839" s="1"/>
      <c r="I839" s="11"/>
    </row>
    <row r="840" spans="1:9">
      <c r="A840" s="2"/>
      <c r="B840" s="1"/>
      <c r="C840" s="1"/>
      <c r="D840" s="1"/>
      <c r="E840" s="1"/>
      <c r="F840" s="1"/>
      <c r="G840" s="1"/>
      <c r="H840" s="1"/>
      <c r="I840" s="11"/>
    </row>
    <row r="841" spans="1:9">
      <c r="A841" s="2"/>
      <c r="B841" s="1"/>
      <c r="C841" s="1"/>
      <c r="D841" s="1"/>
      <c r="E841" s="1"/>
      <c r="F841" s="1"/>
      <c r="G841" s="1"/>
      <c r="H841" s="1"/>
      <c r="I841" s="11"/>
    </row>
    <row r="842" spans="1:9">
      <c r="A842" s="2"/>
      <c r="B842" s="1"/>
      <c r="C842" s="1"/>
      <c r="D842" s="1"/>
      <c r="E842" s="1"/>
      <c r="F842" s="1"/>
      <c r="G842" s="1"/>
      <c r="H842" s="1"/>
      <c r="I842" s="11"/>
    </row>
    <row r="843" spans="1:9">
      <c r="A843" s="2"/>
      <c r="B843" s="1"/>
      <c r="C843" s="1"/>
      <c r="D843" s="1"/>
      <c r="E843" s="1"/>
      <c r="F843" s="1"/>
      <c r="G843" s="1"/>
      <c r="H843" s="1"/>
      <c r="I843" s="11"/>
    </row>
    <row r="844" spans="1:9">
      <c r="A844" s="2"/>
      <c r="B844" s="1"/>
      <c r="C844" s="1"/>
      <c r="D844" s="1"/>
      <c r="E844" s="1"/>
      <c r="F844" s="1"/>
      <c r="G844" s="1"/>
      <c r="H844" s="1"/>
      <c r="I844" s="11"/>
    </row>
    <row r="845" spans="1:9">
      <c r="A845" s="2"/>
      <c r="B845" s="1"/>
      <c r="C845" s="1"/>
      <c r="D845" s="1"/>
      <c r="E845" s="1"/>
      <c r="F845" s="1"/>
      <c r="G845" s="1"/>
      <c r="H845" s="1"/>
      <c r="I845" s="11"/>
    </row>
    <row r="846" spans="1:9">
      <c r="A846" s="2"/>
      <c r="B846" s="1"/>
      <c r="C846" s="1"/>
      <c r="D846" s="1"/>
      <c r="E846" s="1"/>
      <c r="F846" s="1"/>
      <c r="G846" s="1"/>
      <c r="H846" s="1"/>
      <c r="I846" s="11"/>
    </row>
    <row r="847" spans="1:9">
      <c r="A847" s="2"/>
      <c r="B847" s="1"/>
      <c r="C847" s="1"/>
      <c r="D847" s="1"/>
      <c r="E847" s="1"/>
      <c r="F847" s="1"/>
      <c r="G847" s="1"/>
      <c r="H847" s="1"/>
      <c r="I847" s="11"/>
    </row>
    <row r="848" spans="1:9">
      <c r="A848" s="2"/>
      <c r="B848" s="1"/>
      <c r="C848" s="1"/>
      <c r="D848" s="1"/>
      <c r="E848" s="1"/>
      <c r="F848" s="1"/>
      <c r="G848" s="1"/>
      <c r="H848" s="1"/>
      <c r="I848" s="11"/>
    </row>
    <row r="849" spans="1:9">
      <c r="A849" s="2"/>
      <c r="B849" s="1"/>
      <c r="C849" s="1"/>
      <c r="D849" s="1"/>
      <c r="E849" s="1"/>
      <c r="F849" s="1"/>
      <c r="G849" s="1"/>
      <c r="H849" s="1"/>
      <c r="I849" s="11"/>
    </row>
    <row r="850" spans="1:9">
      <c r="A850" s="2"/>
      <c r="B850" s="1"/>
      <c r="C850" s="1"/>
      <c r="D850" s="1"/>
      <c r="E850" s="1"/>
      <c r="F850" s="1"/>
      <c r="G850" s="1"/>
      <c r="H850" s="1"/>
      <c r="I850" s="11"/>
    </row>
    <row r="851" spans="1:9">
      <c r="A851" s="2"/>
      <c r="B851" s="1"/>
      <c r="C851" s="1"/>
      <c r="D851" s="1"/>
      <c r="E851" s="1"/>
      <c r="F851" s="1"/>
      <c r="G851" s="1"/>
      <c r="H851" s="1"/>
      <c r="I851" s="11"/>
    </row>
    <row r="852" spans="1:9">
      <c r="A852" s="2"/>
      <c r="B852" s="1"/>
      <c r="C852" s="1"/>
      <c r="D852" s="1"/>
      <c r="E852" s="1"/>
      <c r="F852" s="1"/>
      <c r="G852" s="1"/>
      <c r="H852" s="1"/>
      <c r="I852" s="11"/>
    </row>
    <row r="853" spans="1:9">
      <c r="A853" s="2"/>
      <c r="B853" s="1"/>
      <c r="C853" s="1"/>
      <c r="D853" s="1"/>
      <c r="E853" s="1"/>
      <c r="F853" s="1"/>
      <c r="G853" s="1"/>
      <c r="H853" s="1"/>
      <c r="I853" s="11"/>
    </row>
    <row r="854" spans="1:9">
      <c r="A854" s="2"/>
      <c r="B854" s="1"/>
      <c r="C854" s="1"/>
      <c r="D854" s="1"/>
      <c r="E854" s="1"/>
      <c r="F854" s="1"/>
      <c r="G854" s="1"/>
      <c r="H854" s="1"/>
      <c r="I854" s="11"/>
    </row>
    <row r="855" spans="1:9">
      <c r="A855" s="2"/>
      <c r="B855" s="1"/>
      <c r="C855" s="1"/>
      <c r="D855" s="1"/>
      <c r="E855" s="1"/>
      <c r="F855" s="1"/>
      <c r="G855" s="1"/>
      <c r="H855" s="1"/>
      <c r="I855" s="11"/>
    </row>
    <row r="856" spans="1:9">
      <c r="A856" s="2"/>
      <c r="B856" s="1"/>
      <c r="C856" s="1"/>
      <c r="D856" s="1"/>
      <c r="E856" s="1"/>
      <c r="F856" s="1"/>
      <c r="G856" s="1"/>
      <c r="H856" s="1"/>
      <c r="I856" s="11"/>
    </row>
    <row r="857" spans="1:9">
      <c r="A857" s="2"/>
      <c r="B857" s="1"/>
      <c r="C857" s="1"/>
      <c r="D857" s="1"/>
      <c r="E857" s="1"/>
      <c r="F857" s="1"/>
      <c r="G857" s="1"/>
      <c r="H857" s="1"/>
      <c r="I857" s="11"/>
    </row>
    <row r="858" spans="1:9">
      <c r="A858" s="2"/>
      <c r="B858" s="1"/>
      <c r="C858" s="1"/>
      <c r="D858" s="1"/>
      <c r="E858" s="1"/>
      <c r="F858" s="1"/>
      <c r="G858" s="1"/>
      <c r="H858" s="1"/>
      <c r="I858" s="11"/>
    </row>
    <row r="859" spans="1:9">
      <c r="A859" s="2"/>
      <c r="B859" s="1"/>
      <c r="C859" s="1"/>
      <c r="D859" s="1"/>
      <c r="E859" s="1"/>
      <c r="F859" s="1"/>
      <c r="G859" s="1"/>
      <c r="H859" s="1"/>
      <c r="I859" s="11"/>
    </row>
    <row r="860" spans="1:9">
      <c r="A860" s="2"/>
      <c r="B860" s="1"/>
      <c r="C860" s="1"/>
      <c r="D860" s="1"/>
      <c r="E860" s="1"/>
      <c r="F860" s="1"/>
      <c r="G860" s="1"/>
      <c r="H860" s="1"/>
      <c r="I860" s="11"/>
    </row>
    <row r="861" spans="1:9">
      <c r="A861" s="2"/>
      <c r="B861" s="1"/>
      <c r="C861" s="1"/>
      <c r="D861" s="1"/>
      <c r="E861" s="1"/>
      <c r="F861" s="1"/>
      <c r="G861" s="1"/>
      <c r="H861" s="1"/>
      <c r="I861" s="11"/>
    </row>
    <row r="862" spans="1:9">
      <c r="A862" s="2"/>
      <c r="B862" s="1"/>
      <c r="C862" s="1"/>
      <c r="D862" s="1"/>
      <c r="E862" s="1"/>
      <c r="F862" s="1"/>
      <c r="G862" s="1"/>
      <c r="H862" s="1"/>
      <c r="I862" s="11"/>
    </row>
    <row r="863" spans="1:9">
      <c r="A863" s="2"/>
      <c r="B863" s="1"/>
      <c r="C863" s="1"/>
      <c r="D863" s="1"/>
      <c r="E863" s="1"/>
      <c r="F863" s="1"/>
      <c r="G863" s="1"/>
      <c r="H863" s="1"/>
      <c r="I863" s="11"/>
    </row>
    <row r="864" spans="1:9">
      <c r="A864" s="2"/>
      <c r="B864" s="1"/>
      <c r="C864" s="1"/>
      <c r="D864" s="1"/>
      <c r="E864" s="1"/>
      <c r="F864" s="1"/>
      <c r="G864" s="1"/>
      <c r="H864" s="1"/>
      <c r="I864" s="11"/>
    </row>
    <row r="865" spans="1:9">
      <c r="A865" s="2"/>
      <c r="B865" s="1"/>
      <c r="C865" s="1"/>
      <c r="D865" s="1"/>
      <c r="E865" s="1"/>
      <c r="F865" s="1"/>
      <c r="G865" s="1"/>
      <c r="H865" s="1"/>
      <c r="I865" s="11"/>
    </row>
    <row r="866" spans="1:9">
      <c r="A866" s="2"/>
      <c r="B866" s="1"/>
      <c r="C866" s="1"/>
      <c r="D866" s="1"/>
      <c r="E866" s="1"/>
      <c r="F866" s="1"/>
      <c r="G866" s="1"/>
      <c r="H866" s="1"/>
      <c r="I866" s="11"/>
    </row>
    <row r="867" spans="1:9">
      <c r="A867" s="2"/>
      <c r="B867" s="1"/>
      <c r="C867" s="1"/>
      <c r="D867" s="1"/>
      <c r="E867" s="1"/>
      <c r="F867" s="1"/>
      <c r="G867" s="1"/>
      <c r="H867" s="1"/>
      <c r="I867" s="11"/>
    </row>
    <row r="868" spans="1:9">
      <c r="A868" s="2"/>
      <c r="B868" s="1"/>
      <c r="C868" s="1"/>
      <c r="D868" s="1"/>
      <c r="E868" s="1"/>
      <c r="F868" s="1"/>
      <c r="G868" s="1"/>
      <c r="H868" s="1"/>
      <c r="I868" s="11"/>
    </row>
    <row r="869" spans="1:9">
      <c r="A869" s="2"/>
      <c r="B869" s="1"/>
      <c r="C869" s="1"/>
      <c r="D869" s="1"/>
      <c r="E869" s="1"/>
      <c r="F869" s="1"/>
      <c r="G869" s="1"/>
      <c r="H869" s="1"/>
      <c r="I869" s="11"/>
    </row>
    <row r="870" spans="1:9">
      <c r="A870" s="2"/>
      <c r="B870" s="1"/>
      <c r="C870" s="1"/>
      <c r="D870" s="1"/>
      <c r="E870" s="1"/>
      <c r="F870" s="1"/>
      <c r="G870" s="1"/>
      <c r="H870" s="1"/>
      <c r="I870" s="11"/>
    </row>
    <row r="871" spans="1:9">
      <c r="A871" s="2"/>
      <c r="B871" s="1"/>
      <c r="C871" s="1"/>
      <c r="D871" s="1"/>
      <c r="E871" s="1"/>
      <c r="F871" s="1"/>
      <c r="G871" s="1"/>
      <c r="H871" s="1"/>
      <c r="I871" s="11"/>
    </row>
    <row r="872" spans="1:9">
      <c r="A872" s="2"/>
      <c r="B872" s="1"/>
      <c r="C872" s="1"/>
      <c r="D872" s="1"/>
      <c r="E872" s="1"/>
      <c r="F872" s="1"/>
      <c r="G872" s="1"/>
      <c r="H872" s="1"/>
      <c r="I872" s="11"/>
    </row>
    <row r="873" spans="1:9">
      <c r="A873" s="2"/>
      <c r="B873" s="1"/>
      <c r="C873" s="1"/>
      <c r="D873" s="1"/>
      <c r="E873" s="1"/>
      <c r="F873" s="1"/>
      <c r="G873" s="1"/>
      <c r="H873" s="1"/>
      <c r="I873" s="11"/>
    </row>
    <row r="874" spans="1:9">
      <c r="A874" s="2"/>
      <c r="B874" s="1"/>
      <c r="C874" s="1"/>
      <c r="D874" s="1"/>
      <c r="E874" s="1"/>
      <c r="F874" s="1"/>
      <c r="G874" s="1"/>
      <c r="H874" s="1"/>
      <c r="I874" s="11"/>
    </row>
    <row r="875" spans="1:9">
      <c r="A875" s="2"/>
      <c r="B875" s="1"/>
      <c r="C875" s="1"/>
      <c r="D875" s="1"/>
      <c r="E875" s="1"/>
      <c r="F875" s="1"/>
      <c r="G875" s="1"/>
      <c r="H875" s="1"/>
      <c r="I875" s="11"/>
    </row>
    <row r="876" spans="1:9">
      <c r="A876" s="2"/>
      <c r="B876" s="1"/>
      <c r="C876" s="1"/>
      <c r="D876" s="1"/>
      <c r="E876" s="1"/>
      <c r="F876" s="1"/>
      <c r="G876" s="1"/>
      <c r="H876" s="1"/>
      <c r="I876" s="11"/>
    </row>
    <row r="877" spans="1:9">
      <c r="A877" s="2"/>
      <c r="B877" s="1"/>
      <c r="C877" s="1"/>
      <c r="D877" s="1"/>
      <c r="E877" s="1"/>
      <c r="F877" s="1"/>
      <c r="G877" s="1"/>
      <c r="H877" s="1"/>
      <c r="I877" s="11"/>
    </row>
    <row r="878" spans="1:9">
      <c r="A878" s="2"/>
      <c r="B878" s="1"/>
      <c r="C878" s="1"/>
      <c r="D878" s="1"/>
      <c r="E878" s="1"/>
      <c r="F878" s="1"/>
      <c r="G878" s="1"/>
      <c r="H878" s="1"/>
      <c r="I878" s="11"/>
    </row>
    <row r="879" spans="1:9">
      <c r="A879" s="2"/>
      <c r="B879" s="1"/>
      <c r="C879" s="1"/>
      <c r="D879" s="1"/>
      <c r="E879" s="1"/>
      <c r="F879" s="1"/>
      <c r="G879" s="1"/>
      <c r="H879" s="1"/>
      <c r="I879" s="11"/>
    </row>
    <row r="880" spans="1:9">
      <c r="A880" s="2"/>
      <c r="B880" s="1"/>
      <c r="C880" s="1"/>
      <c r="D880" s="1"/>
      <c r="E880" s="1"/>
      <c r="F880" s="1"/>
      <c r="G880" s="1"/>
      <c r="H880" s="1"/>
      <c r="I880" s="11"/>
    </row>
    <row r="881" spans="1:9">
      <c r="A881" s="2"/>
      <c r="B881" s="1"/>
      <c r="C881" s="1"/>
      <c r="D881" s="1"/>
      <c r="E881" s="1"/>
      <c r="F881" s="1"/>
      <c r="G881" s="1"/>
      <c r="H881" s="1"/>
      <c r="I881" s="11"/>
    </row>
    <row r="882" spans="1:9">
      <c r="A882" s="2"/>
      <c r="B882" s="1"/>
      <c r="C882" s="1"/>
      <c r="D882" s="1"/>
      <c r="E882" s="1"/>
      <c r="F882" s="1"/>
      <c r="G882" s="1"/>
      <c r="H882" s="1"/>
      <c r="I882" s="11"/>
    </row>
    <row r="883" spans="1:9">
      <c r="A883" s="2"/>
      <c r="B883" s="1"/>
      <c r="C883" s="1"/>
      <c r="D883" s="1"/>
      <c r="E883" s="1"/>
      <c r="F883" s="1"/>
      <c r="G883" s="1"/>
      <c r="H883" s="1"/>
      <c r="I883" s="11"/>
    </row>
    <row r="884" spans="1:9">
      <c r="A884" s="2"/>
      <c r="B884" s="1"/>
      <c r="C884" s="1"/>
      <c r="D884" s="1"/>
      <c r="E884" s="1"/>
      <c r="F884" s="1"/>
      <c r="G884" s="1"/>
      <c r="H884" s="1"/>
      <c r="I884" s="11"/>
    </row>
    <row r="885" spans="1:9">
      <c r="A885" s="2"/>
      <c r="B885" s="1"/>
      <c r="C885" s="1"/>
      <c r="D885" s="1"/>
      <c r="E885" s="1"/>
      <c r="F885" s="1"/>
      <c r="G885" s="1"/>
      <c r="H885" s="1"/>
      <c r="I885" s="11"/>
    </row>
    <row r="886" spans="1:9">
      <c r="A886" s="2"/>
      <c r="B886" s="1"/>
      <c r="C886" s="1"/>
      <c r="D886" s="1"/>
      <c r="E886" s="1"/>
      <c r="F886" s="1"/>
      <c r="G886" s="1"/>
      <c r="H886" s="1"/>
      <c r="I886" s="11"/>
    </row>
    <row r="887" spans="1:9">
      <c r="A887" s="2"/>
      <c r="B887" s="1"/>
      <c r="C887" s="1"/>
      <c r="D887" s="1"/>
      <c r="E887" s="1"/>
      <c r="F887" s="1"/>
      <c r="G887" s="1"/>
      <c r="H887" s="1"/>
      <c r="I887" s="11"/>
    </row>
    <row r="888" spans="1:9">
      <c r="A888" s="2"/>
      <c r="B888" s="1"/>
      <c r="C888" s="1"/>
      <c r="D888" s="1"/>
      <c r="E888" s="1"/>
      <c r="F888" s="1"/>
      <c r="G888" s="1"/>
      <c r="H888" s="1"/>
      <c r="I888" s="11"/>
    </row>
    <row r="889" spans="1:9">
      <c r="A889" s="2"/>
      <c r="B889" s="1"/>
      <c r="C889" s="1"/>
      <c r="D889" s="1"/>
      <c r="E889" s="1"/>
      <c r="F889" s="1"/>
      <c r="G889" s="1"/>
      <c r="H889" s="1"/>
      <c r="I889" s="11"/>
    </row>
    <row r="890" spans="1:9">
      <c r="A890" s="2"/>
      <c r="B890" s="1"/>
      <c r="C890" s="1"/>
      <c r="D890" s="1"/>
      <c r="E890" s="1"/>
      <c r="F890" s="1"/>
      <c r="G890" s="1"/>
      <c r="H890" s="1"/>
      <c r="I890" s="11"/>
    </row>
    <row r="891" spans="1:9">
      <c r="A891" s="2"/>
      <c r="B891" s="1"/>
      <c r="C891" s="1"/>
      <c r="D891" s="1"/>
      <c r="E891" s="1"/>
      <c r="F891" s="1"/>
      <c r="G891" s="1"/>
      <c r="H891" s="1"/>
      <c r="I891" s="11"/>
    </row>
    <row r="892" spans="1:9">
      <c r="A892" s="2"/>
      <c r="B892" s="1"/>
      <c r="C892" s="1"/>
      <c r="D892" s="1"/>
      <c r="E892" s="1"/>
      <c r="F892" s="1"/>
      <c r="G892" s="1"/>
      <c r="H892" s="1"/>
      <c r="I892" s="11"/>
    </row>
    <row r="893" spans="1:9">
      <c r="A893" s="2"/>
      <c r="B893" s="1"/>
      <c r="C893" s="1"/>
      <c r="D893" s="1"/>
      <c r="E893" s="1"/>
      <c r="F893" s="1"/>
      <c r="G893" s="1"/>
      <c r="H893" s="1"/>
      <c r="I893" s="11"/>
    </row>
    <row r="894" spans="1:9">
      <c r="A894" s="2"/>
      <c r="B894" s="1"/>
      <c r="C894" s="1"/>
      <c r="D894" s="1"/>
      <c r="E894" s="1"/>
      <c r="F894" s="1"/>
      <c r="G894" s="1"/>
      <c r="H894" s="1"/>
      <c r="I894" s="11"/>
    </row>
    <row r="895" spans="1:9">
      <c r="A895" s="2"/>
      <c r="B895" s="1"/>
      <c r="C895" s="1"/>
      <c r="D895" s="1"/>
      <c r="E895" s="1"/>
      <c r="F895" s="1"/>
      <c r="G895" s="1"/>
      <c r="H895" s="1"/>
      <c r="I895" s="11"/>
    </row>
    <row r="896" spans="1:9">
      <c r="A896" s="2"/>
      <c r="B896" s="1"/>
      <c r="C896" s="1"/>
      <c r="D896" s="1"/>
      <c r="E896" s="1"/>
      <c r="F896" s="1"/>
      <c r="G896" s="1"/>
      <c r="H896" s="1"/>
      <c r="I896" s="11"/>
    </row>
    <row r="897" spans="1:9">
      <c r="A897" s="2"/>
      <c r="B897" s="1"/>
      <c r="C897" s="1"/>
      <c r="D897" s="1"/>
      <c r="E897" s="1"/>
      <c r="F897" s="1"/>
      <c r="G897" s="1"/>
      <c r="H897" s="1"/>
      <c r="I897" s="11"/>
    </row>
    <row r="898" spans="1:9">
      <c r="A898" s="2"/>
      <c r="B898" s="1"/>
      <c r="C898" s="1"/>
      <c r="D898" s="1"/>
      <c r="E898" s="1"/>
      <c r="F898" s="1"/>
      <c r="G898" s="1"/>
      <c r="H898" s="1"/>
      <c r="I898" s="11"/>
    </row>
    <row r="899" spans="1:9">
      <c r="A899" s="2"/>
      <c r="B899" s="1"/>
      <c r="C899" s="1"/>
      <c r="D899" s="1"/>
      <c r="E899" s="1"/>
      <c r="F899" s="1"/>
      <c r="G899" s="1"/>
      <c r="H899" s="1"/>
      <c r="I899" s="11"/>
    </row>
    <row r="900" spans="1:9">
      <c r="A900" s="2"/>
      <c r="B900" s="1"/>
      <c r="C900" s="1"/>
      <c r="D900" s="1"/>
      <c r="E900" s="1"/>
      <c r="F900" s="1"/>
      <c r="G900" s="1"/>
      <c r="H900" s="1"/>
      <c r="I900" s="11"/>
    </row>
    <row r="901" spans="1:9">
      <c r="A901" s="2"/>
      <c r="B901" s="1"/>
      <c r="C901" s="1"/>
      <c r="D901" s="1"/>
      <c r="E901" s="1"/>
      <c r="F901" s="1"/>
      <c r="G901" s="1"/>
      <c r="H901" s="1"/>
      <c r="I901" s="11"/>
    </row>
    <row r="902" spans="1:9">
      <c r="A902" s="2"/>
      <c r="B902" s="1"/>
      <c r="C902" s="1"/>
      <c r="D902" s="1"/>
      <c r="E902" s="1"/>
      <c r="F902" s="1"/>
      <c r="G902" s="1"/>
      <c r="H902" s="1"/>
      <c r="I902" s="11"/>
    </row>
    <row r="903" spans="1:9">
      <c r="A903" s="2"/>
      <c r="B903" s="1"/>
      <c r="C903" s="1"/>
      <c r="D903" s="1"/>
      <c r="E903" s="1"/>
      <c r="F903" s="1"/>
      <c r="G903" s="1"/>
      <c r="H903" s="1"/>
      <c r="I903" s="11"/>
    </row>
    <row r="904" spans="1:9">
      <c r="A904" s="2"/>
      <c r="B904" s="1"/>
      <c r="C904" s="1"/>
      <c r="D904" s="1"/>
      <c r="E904" s="1"/>
      <c r="F904" s="1"/>
      <c r="G904" s="1"/>
      <c r="H904" s="1"/>
      <c r="I904" s="11"/>
    </row>
    <row r="905" spans="1:9">
      <c r="A905" s="2"/>
      <c r="B905" s="1"/>
      <c r="C905" s="1"/>
      <c r="D905" s="1"/>
      <c r="E905" s="1"/>
      <c r="F905" s="1"/>
      <c r="G905" s="1"/>
      <c r="H905" s="1"/>
      <c r="I905" s="11"/>
    </row>
    <row r="906" spans="1:9">
      <c r="A906" s="2"/>
      <c r="B906" s="1"/>
      <c r="C906" s="1"/>
      <c r="D906" s="1"/>
      <c r="E906" s="1"/>
      <c r="F906" s="1"/>
      <c r="G906" s="1"/>
      <c r="H906" s="1"/>
      <c r="I906" s="11"/>
    </row>
    <row r="907" spans="1:9">
      <c r="A907" s="2"/>
      <c r="B907" s="1"/>
      <c r="C907" s="1"/>
      <c r="D907" s="1"/>
      <c r="E907" s="1"/>
      <c r="F907" s="1"/>
      <c r="G907" s="1"/>
      <c r="H907" s="1"/>
      <c r="I907" s="11"/>
    </row>
    <row r="908" spans="1:9">
      <c r="A908" s="2"/>
      <c r="B908" s="1"/>
      <c r="C908" s="1"/>
      <c r="D908" s="1"/>
      <c r="E908" s="1"/>
      <c r="F908" s="1"/>
      <c r="G908" s="1"/>
      <c r="H908" s="1"/>
      <c r="I908" s="11"/>
    </row>
    <row r="909" spans="1:9">
      <c r="A909" s="2"/>
      <c r="B909" s="1"/>
      <c r="C909" s="1"/>
      <c r="D909" s="1"/>
      <c r="E909" s="1"/>
      <c r="F909" s="1"/>
      <c r="G909" s="1"/>
      <c r="H909" s="1"/>
      <c r="I909" s="11"/>
    </row>
    <row r="910" spans="1:9">
      <c r="A910" s="2"/>
      <c r="B910" s="1"/>
      <c r="C910" s="1"/>
      <c r="D910" s="1"/>
      <c r="E910" s="1"/>
      <c r="F910" s="1"/>
      <c r="G910" s="1"/>
      <c r="H910" s="1"/>
      <c r="I910" s="11"/>
    </row>
    <row r="911" spans="1:9">
      <c r="A911" s="2"/>
      <c r="B911" s="1"/>
      <c r="C911" s="1"/>
      <c r="D911" s="1"/>
      <c r="E911" s="1"/>
      <c r="F911" s="1"/>
      <c r="G911" s="1"/>
      <c r="H911" s="1"/>
      <c r="I911" s="11"/>
    </row>
    <row r="912" spans="1:9">
      <c r="A912" s="2"/>
      <c r="B912" s="1"/>
      <c r="C912" s="1"/>
      <c r="D912" s="1"/>
      <c r="E912" s="1"/>
      <c r="F912" s="1"/>
      <c r="G912" s="1"/>
      <c r="H912" s="1"/>
      <c r="I912" s="11"/>
    </row>
    <row r="913" spans="1:9">
      <c r="A913" s="2"/>
      <c r="B913" s="1"/>
      <c r="C913" s="1"/>
      <c r="D913" s="1"/>
      <c r="E913" s="1"/>
      <c r="F913" s="1"/>
      <c r="G913" s="1"/>
      <c r="H913" s="1"/>
      <c r="I913" s="11"/>
    </row>
    <row r="914" spans="1:9">
      <c r="A914" s="2"/>
      <c r="B914" s="1"/>
      <c r="C914" s="1"/>
      <c r="D914" s="1"/>
      <c r="E914" s="1"/>
      <c r="F914" s="1"/>
      <c r="G914" s="1"/>
      <c r="H914" s="1"/>
      <c r="I914" s="11"/>
    </row>
    <row r="915" spans="1:9">
      <c r="A915" s="2"/>
      <c r="B915" s="1"/>
      <c r="C915" s="1"/>
      <c r="D915" s="1"/>
      <c r="E915" s="1"/>
      <c r="F915" s="1"/>
      <c r="G915" s="1"/>
      <c r="H915" s="1"/>
      <c r="I915" s="11"/>
    </row>
    <row r="916" spans="1:9">
      <c r="A916" s="2"/>
      <c r="B916" s="1"/>
      <c r="C916" s="1"/>
      <c r="D916" s="1"/>
      <c r="E916" s="1"/>
      <c r="F916" s="1"/>
      <c r="G916" s="1"/>
      <c r="H916" s="1"/>
      <c r="I916" s="11"/>
    </row>
    <row r="917" spans="1:9">
      <c r="A917" s="2"/>
      <c r="B917" s="1"/>
      <c r="C917" s="1"/>
      <c r="D917" s="1"/>
      <c r="E917" s="1"/>
      <c r="F917" s="1"/>
      <c r="G917" s="1"/>
      <c r="H917" s="1"/>
      <c r="I917" s="11"/>
    </row>
    <row r="918" spans="1:9">
      <c r="A918" s="2"/>
      <c r="B918" s="1"/>
      <c r="C918" s="1"/>
      <c r="D918" s="1"/>
      <c r="E918" s="1"/>
      <c r="F918" s="1"/>
      <c r="G918" s="1"/>
      <c r="H918" s="1"/>
      <c r="I918" s="11"/>
    </row>
    <row r="919" spans="1:9">
      <c r="A919" s="2"/>
      <c r="B919" s="1"/>
      <c r="C919" s="1"/>
      <c r="D919" s="1"/>
      <c r="E919" s="1"/>
      <c r="F919" s="1"/>
      <c r="G919" s="1"/>
      <c r="H919" s="1"/>
      <c r="I919" s="11"/>
    </row>
    <row r="920" spans="1:9">
      <c r="A920" s="2"/>
      <c r="B920" s="1"/>
      <c r="C920" s="1"/>
      <c r="D920" s="1"/>
      <c r="E920" s="1"/>
      <c r="F920" s="1"/>
      <c r="G920" s="1"/>
      <c r="H920" s="1"/>
      <c r="I920" s="11"/>
    </row>
    <row r="921" spans="1:9">
      <c r="A921" s="2"/>
      <c r="B921" s="1"/>
      <c r="C921" s="1"/>
      <c r="D921" s="1"/>
      <c r="E921" s="1"/>
      <c r="F921" s="1"/>
      <c r="G921" s="1"/>
      <c r="H921" s="1"/>
      <c r="I921" s="11"/>
    </row>
    <row r="922" spans="1:9">
      <c r="A922" s="2"/>
      <c r="B922" s="1"/>
      <c r="C922" s="1"/>
      <c r="D922" s="1"/>
      <c r="E922" s="1"/>
      <c r="F922" s="1"/>
      <c r="G922" s="1"/>
      <c r="H922" s="1"/>
      <c r="I922" s="11"/>
    </row>
    <row r="923" spans="1:9">
      <c r="A923" s="2"/>
      <c r="B923" s="1"/>
      <c r="C923" s="1"/>
      <c r="D923" s="1"/>
      <c r="E923" s="1"/>
      <c r="F923" s="1"/>
      <c r="G923" s="1"/>
      <c r="H923" s="1"/>
      <c r="I923" s="11"/>
    </row>
    <row r="924" spans="1:9">
      <c r="A924" s="2"/>
      <c r="B924" s="1"/>
      <c r="C924" s="1"/>
      <c r="D924" s="1"/>
      <c r="E924" s="1"/>
      <c r="F924" s="1"/>
      <c r="G924" s="1"/>
      <c r="H924" s="1"/>
      <c r="I924" s="11"/>
    </row>
    <row r="925" spans="1:9">
      <c r="A925" s="2"/>
      <c r="B925" s="1"/>
      <c r="C925" s="1"/>
      <c r="D925" s="1"/>
      <c r="E925" s="1"/>
      <c r="F925" s="1"/>
      <c r="G925" s="1"/>
      <c r="H925" s="1"/>
      <c r="I925" s="11"/>
    </row>
    <row r="926" spans="1:9">
      <c r="A926" s="2"/>
      <c r="B926" s="1"/>
      <c r="C926" s="1"/>
      <c r="D926" s="1"/>
      <c r="E926" s="1"/>
      <c r="F926" s="1"/>
      <c r="G926" s="1"/>
      <c r="H926" s="1"/>
      <c r="I926" s="11"/>
    </row>
    <row r="927" spans="1:9">
      <c r="A927" s="2"/>
      <c r="B927" s="1"/>
      <c r="C927" s="1"/>
      <c r="D927" s="1"/>
      <c r="E927" s="1"/>
      <c r="F927" s="1"/>
      <c r="G927" s="1"/>
      <c r="H927" s="1"/>
      <c r="I927" s="11"/>
    </row>
    <row r="928" spans="1:9">
      <c r="A928" s="2"/>
      <c r="B928" s="1"/>
      <c r="C928" s="1"/>
      <c r="D928" s="1"/>
      <c r="E928" s="1"/>
      <c r="F928" s="1"/>
      <c r="G928" s="1"/>
      <c r="H928" s="1"/>
      <c r="I928" s="11"/>
    </row>
    <row r="929" spans="1:9">
      <c r="A929" s="2"/>
      <c r="B929" s="1"/>
      <c r="C929" s="1"/>
      <c r="D929" s="1"/>
      <c r="E929" s="1"/>
      <c r="F929" s="1"/>
      <c r="G929" s="1"/>
      <c r="H929" s="1"/>
      <c r="I929" s="11"/>
    </row>
    <row r="930" spans="1:9">
      <c r="A930" s="2"/>
      <c r="B930" s="1"/>
      <c r="C930" s="1"/>
      <c r="D930" s="1"/>
      <c r="E930" s="1"/>
      <c r="F930" s="1"/>
      <c r="G930" s="1"/>
      <c r="H930" s="1"/>
      <c r="I930" s="11"/>
    </row>
    <row r="931" spans="1:9">
      <c r="A931" s="2"/>
      <c r="B931" s="1"/>
      <c r="C931" s="1"/>
      <c r="D931" s="1"/>
      <c r="E931" s="1"/>
      <c r="F931" s="1"/>
      <c r="G931" s="1"/>
      <c r="H931" s="1"/>
      <c r="I931" s="11"/>
    </row>
    <row r="932" spans="1:9">
      <c r="A932" s="2"/>
      <c r="B932" s="1"/>
      <c r="C932" s="1"/>
      <c r="D932" s="1"/>
      <c r="E932" s="1"/>
      <c r="F932" s="1"/>
      <c r="G932" s="1"/>
      <c r="H932" s="1"/>
      <c r="I932" s="11"/>
    </row>
    <row r="933" spans="1:9">
      <c r="A933" s="2"/>
      <c r="B933" s="1"/>
      <c r="C933" s="1"/>
      <c r="D933" s="1"/>
      <c r="E933" s="1"/>
      <c r="F933" s="1"/>
      <c r="G933" s="1"/>
      <c r="H933" s="1"/>
      <c r="I933" s="11"/>
    </row>
    <row r="934" spans="1:9">
      <c r="A934" s="2"/>
      <c r="B934" s="1"/>
      <c r="C934" s="1"/>
      <c r="D934" s="1"/>
      <c r="E934" s="1"/>
      <c r="F934" s="1"/>
      <c r="G934" s="1"/>
      <c r="H934" s="1"/>
      <c r="I934" s="11"/>
    </row>
    <row r="935" spans="1:9">
      <c r="A935" s="2"/>
      <c r="B935" s="1"/>
      <c r="C935" s="1"/>
      <c r="D935" s="1"/>
      <c r="E935" s="1"/>
      <c r="F935" s="1"/>
      <c r="G935" s="1"/>
      <c r="H935" s="1"/>
      <c r="I935" s="11"/>
    </row>
    <row r="936" spans="1:9">
      <c r="A936" s="2"/>
      <c r="B936" s="1"/>
      <c r="C936" s="1"/>
      <c r="D936" s="1"/>
      <c r="E936" s="1"/>
      <c r="F936" s="1"/>
      <c r="G936" s="1"/>
      <c r="H936" s="1"/>
      <c r="I936" s="11"/>
    </row>
    <row r="937" spans="1:9">
      <c r="A937" s="2"/>
      <c r="B937" s="1"/>
      <c r="C937" s="1"/>
      <c r="D937" s="1"/>
      <c r="E937" s="1"/>
      <c r="F937" s="1"/>
      <c r="G937" s="1"/>
      <c r="H937" s="1"/>
      <c r="I937" s="11"/>
    </row>
    <row r="938" spans="1:9">
      <c r="A938" s="2"/>
      <c r="B938" s="1"/>
      <c r="C938" s="1"/>
      <c r="D938" s="1"/>
      <c r="E938" s="1"/>
      <c r="F938" s="1"/>
      <c r="G938" s="1"/>
      <c r="H938" s="1"/>
      <c r="I938" s="11"/>
    </row>
    <row r="939" spans="1:9">
      <c r="A939" s="2"/>
      <c r="B939" s="1"/>
      <c r="C939" s="1"/>
      <c r="D939" s="1"/>
      <c r="E939" s="1"/>
      <c r="F939" s="1"/>
      <c r="G939" s="1"/>
      <c r="H939" s="1"/>
      <c r="I939" s="11"/>
    </row>
    <row r="940" spans="1:9">
      <c r="A940" s="2"/>
      <c r="B940" s="1"/>
      <c r="C940" s="1"/>
      <c r="D940" s="1"/>
      <c r="E940" s="1"/>
      <c r="F940" s="1"/>
      <c r="G940" s="1"/>
      <c r="H940" s="1"/>
      <c r="I940" s="11"/>
    </row>
    <row r="941" spans="1:9">
      <c r="A941" s="2"/>
      <c r="B941" s="1"/>
      <c r="C941" s="1"/>
      <c r="D941" s="1"/>
      <c r="E941" s="1"/>
      <c r="F941" s="1"/>
      <c r="G941" s="1"/>
      <c r="H941" s="1"/>
      <c r="I941" s="11"/>
    </row>
    <row r="942" spans="1:9">
      <c r="A942" s="2"/>
      <c r="B942" s="1"/>
      <c r="C942" s="1"/>
      <c r="D942" s="1"/>
      <c r="E942" s="1"/>
      <c r="F942" s="1"/>
      <c r="G942" s="1"/>
      <c r="H942" s="1"/>
      <c r="I942" s="11"/>
    </row>
    <row r="943" spans="1:9">
      <c r="A943" s="2"/>
      <c r="B943" s="1"/>
      <c r="C943" s="1"/>
      <c r="D943" s="1"/>
      <c r="E943" s="1"/>
      <c r="F943" s="1"/>
      <c r="G943" s="1"/>
      <c r="H943" s="1"/>
      <c r="I943" s="11"/>
    </row>
    <row r="944" spans="1:9">
      <c r="A944" s="2"/>
      <c r="B944" s="1"/>
      <c r="C944" s="1"/>
      <c r="D944" s="1"/>
      <c r="E944" s="1"/>
      <c r="F944" s="1"/>
      <c r="G944" s="1"/>
      <c r="H944" s="1"/>
      <c r="I944" s="11"/>
    </row>
    <row r="945" spans="1:9">
      <c r="A945" s="2"/>
      <c r="B945" s="1"/>
      <c r="C945" s="1"/>
      <c r="D945" s="1"/>
      <c r="E945" s="1"/>
      <c r="F945" s="1"/>
      <c r="G945" s="1"/>
      <c r="H945" s="1"/>
      <c r="I945" s="11"/>
    </row>
    <row r="946" spans="1:9">
      <c r="A946" s="2"/>
      <c r="B946" s="1"/>
      <c r="C946" s="1"/>
      <c r="D946" s="1"/>
      <c r="E946" s="1"/>
      <c r="F946" s="1"/>
      <c r="G946" s="1"/>
      <c r="H946" s="1"/>
      <c r="I946" s="11"/>
    </row>
    <row r="947" spans="1:9">
      <c r="A947" s="2"/>
      <c r="B947" s="1"/>
      <c r="C947" s="1"/>
      <c r="D947" s="1"/>
      <c r="E947" s="1"/>
      <c r="F947" s="1"/>
      <c r="G947" s="1"/>
      <c r="H947" s="1"/>
      <c r="I947" s="11"/>
    </row>
    <row r="948" spans="1:9">
      <c r="A948" s="2"/>
      <c r="B948" s="1"/>
      <c r="C948" s="1"/>
      <c r="D948" s="1"/>
      <c r="E948" s="1"/>
      <c r="F948" s="1"/>
      <c r="G948" s="1"/>
      <c r="H948" s="1"/>
      <c r="I948" s="11"/>
    </row>
    <row r="949" spans="1:9">
      <c r="A949" s="2"/>
      <c r="B949" s="1"/>
      <c r="C949" s="1"/>
      <c r="D949" s="1"/>
      <c r="E949" s="1"/>
      <c r="F949" s="1"/>
      <c r="G949" s="1"/>
      <c r="H949" s="1"/>
      <c r="I949" s="11"/>
    </row>
    <row r="950" spans="1:9">
      <c r="A950" s="2"/>
      <c r="B950" s="1"/>
      <c r="C950" s="1"/>
      <c r="D950" s="1"/>
      <c r="E950" s="1"/>
      <c r="F950" s="1"/>
      <c r="G950" s="1"/>
      <c r="H950" s="1"/>
      <c r="I950" s="11"/>
    </row>
    <row r="951" spans="1:9">
      <c r="A951" s="2"/>
      <c r="B951" s="1"/>
      <c r="C951" s="1"/>
      <c r="D951" s="1"/>
      <c r="E951" s="1"/>
      <c r="F951" s="1"/>
      <c r="G951" s="1"/>
      <c r="H951" s="1"/>
      <c r="I951" s="11"/>
    </row>
    <row r="952" spans="1:9">
      <c r="A952" s="2"/>
      <c r="B952" s="1"/>
      <c r="C952" s="1"/>
      <c r="D952" s="1"/>
      <c r="E952" s="1"/>
      <c r="F952" s="1"/>
      <c r="G952" s="1"/>
      <c r="H952" s="1"/>
      <c r="I952" s="11"/>
    </row>
    <row r="953" spans="1:9">
      <c r="A953" s="2"/>
      <c r="B953" s="1"/>
      <c r="C953" s="1"/>
      <c r="D953" s="1"/>
      <c r="E953" s="1"/>
      <c r="F953" s="1"/>
      <c r="G953" s="1"/>
      <c r="H953" s="1"/>
      <c r="I953" s="11"/>
    </row>
    <row r="954" spans="1:9">
      <c r="A954" s="2"/>
      <c r="B954" s="1"/>
      <c r="C954" s="1"/>
      <c r="D954" s="1"/>
      <c r="E954" s="1"/>
      <c r="F954" s="1"/>
      <c r="G954" s="1"/>
      <c r="H954" s="1"/>
      <c r="I954" s="11"/>
    </row>
    <row r="955" spans="1:9">
      <c r="A955" s="2"/>
      <c r="B955" s="1"/>
      <c r="C955" s="1"/>
      <c r="D955" s="1"/>
      <c r="E955" s="1"/>
      <c r="F955" s="1"/>
      <c r="G955" s="1"/>
      <c r="H955" s="1"/>
      <c r="I955" s="11"/>
    </row>
    <row r="956" spans="1:9">
      <c r="A956" s="2"/>
      <c r="B956" s="1"/>
      <c r="C956" s="1"/>
      <c r="D956" s="1"/>
      <c r="E956" s="1"/>
      <c r="F956" s="1"/>
      <c r="G956" s="1"/>
      <c r="H956" s="1"/>
      <c r="I956" s="11"/>
    </row>
    <row r="957" spans="1:9">
      <c r="A957" s="2"/>
      <c r="B957" s="1"/>
      <c r="C957" s="1"/>
      <c r="D957" s="1"/>
      <c r="E957" s="1"/>
      <c r="F957" s="1"/>
      <c r="G957" s="1"/>
      <c r="H957" s="1"/>
      <c r="I957" s="11"/>
    </row>
    <row r="958" spans="1:9">
      <c r="A958" s="2"/>
      <c r="B958" s="1"/>
      <c r="C958" s="1"/>
      <c r="D958" s="1"/>
      <c r="E958" s="1"/>
      <c r="F958" s="1"/>
      <c r="G958" s="1"/>
      <c r="H958" s="1"/>
      <c r="I958" s="11"/>
    </row>
    <row r="959" spans="1:9">
      <c r="A959" s="2"/>
      <c r="B959" s="1"/>
      <c r="C959" s="1"/>
      <c r="D959" s="1"/>
      <c r="E959" s="1"/>
      <c r="F959" s="1"/>
      <c r="G959" s="1"/>
      <c r="H959" s="1"/>
      <c r="I959" s="11"/>
    </row>
    <row r="960" spans="1:9">
      <c r="A960" s="2"/>
      <c r="B960" s="1"/>
      <c r="C960" s="1"/>
      <c r="D960" s="1"/>
      <c r="E960" s="1"/>
      <c r="F960" s="1"/>
      <c r="G960" s="1"/>
      <c r="H960" s="1"/>
      <c r="I960" s="11"/>
    </row>
    <row r="961" spans="1:9">
      <c r="A961" s="2"/>
      <c r="B961" s="1"/>
      <c r="C961" s="1"/>
      <c r="D961" s="1"/>
      <c r="E961" s="1"/>
      <c r="F961" s="1"/>
      <c r="G961" s="1"/>
      <c r="H961" s="1"/>
      <c r="I961" s="11"/>
    </row>
    <row r="962" spans="1:9">
      <c r="A962" s="2"/>
      <c r="B962" s="1"/>
      <c r="C962" s="1"/>
      <c r="D962" s="1"/>
      <c r="E962" s="1"/>
      <c r="F962" s="1"/>
      <c r="G962" s="1"/>
      <c r="H962" s="1"/>
      <c r="I962" s="11"/>
    </row>
    <row r="963" spans="1:9">
      <c r="A963" s="2"/>
      <c r="B963" s="1"/>
      <c r="C963" s="1"/>
      <c r="D963" s="1"/>
      <c r="E963" s="1"/>
      <c r="F963" s="1"/>
      <c r="G963" s="1"/>
      <c r="H963" s="1"/>
      <c r="I963" s="11"/>
    </row>
    <row r="964" spans="1:9">
      <c r="A964" s="2"/>
      <c r="B964" s="1"/>
      <c r="C964" s="1"/>
      <c r="D964" s="1"/>
      <c r="E964" s="1"/>
      <c r="F964" s="1"/>
      <c r="G964" s="1"/>
      <c r="H964" s="1"/>
      <c r="I964" s="11"/>
    </row>
    <row r="965" spans="1:9">
      <c r="A965" s="2"/>
      <c r="B965" s="1"/>
      <c r="C965" s="1"/>
      <c r="D965" s="1"/>
      <c r="E965" s="1"/>
      <c r="F965" s="1"/>
      <c r="G965" s="1"/>
      <c r="H965" s="1"/>
      <c r="I965" s="11"/>
    </row>
    <row r="966" spans="1:9">
      <c r="A966" s="2"/>
      <c r="B966" s="1"/>
      <c r="C966" s="1"/>
      <c r="D966" s="1"/>
      <c r="E966" s="1"/>
      <c r="F966" s="1"/>
      <c r="G966" s="1"/>
      <c r="H966" s="1"/>
      <c r="I966" s="11"/>
    </row>
    <row r="967" spans="1:9">
      <c r="A967" s="2"/>
      <c r="B967" s="1"/>
      <c r="C967" s="1"/>
      <c r="D967" s="1"/>
      <c r="E967" s="1"/>
      <c r="F967" s="1"/>
      <c r="G967" s="1"/>
      <c r="H967" s="1"/>
      <c r="I967" s="11"/>
    </row>
    <row r="968" spans="1:9">
      <c r="A968" s="2"/>
      <c r="B968" s="1"/>
      <c r="C968" s="1"/>
      <c r="D968" s="1"/>
      <c r="E968" s="1"/>
      <c r="F968" s="1"/>
      <c r="G968" s="1"/>
      <c r="H968" s="1"/>
      <c r="I968" s="11"/>
    </row>
    <row r="969" spans="1:9">
      <c r="A969" s="2"/>
      <c r="B969" s="1"/>
      <c r="C969" s="1"/>
      <c r="D969" s="1"/>
      <c r="E969" s="1"/>
      <c r="F969" s="1"/>
      <c r="G969" s="1"/>
      <c r="H969" s="1"/>
      <c r="I969" s="11"/>
    </row>
    <row r="970" spans="1:9">
      <c r="A970" s="2"/>
      <c r="B970" s="1"/>
      <c r="C970" s="1"/>
      <c r="D970" s="1"/>
      <c r="E970" s="1"/>
      <c r="F970" s="1"/>
      <c r="G970" s="1"/>
      <c r="H970" s="1"/>
      <c r="I970" s="11"/>
    </row>
    <row r="971" spans="1:9">
      <c r="A971" s="2"/>
      <c r="B971" s="1"/>
      <c r="C971" s="1"/>
      <c r="D971" s="1"/>
      <c r="E971" s="1"/>
      <c r="F971" s="1"/>
      <c r="G971" s="1"/>
      <c r="H971" s="1"/>
      <c r="I971" s="11"/>
    </row>
    <row r="972" spans="1:9">
      <c r="A972" s="2"/>
      <c r="B972" s="1"/>
      <c r="C972" s="1"/>
      <c r="D972" s="1"/>
      <c r="E972" s="1"/>
      <c r="F972" s="1"/>
      <c r="G972" s="1"/>
      <c r="H972" s="1"/>
      <c r="I972" s="11"/>
    </row>
    <row r="973" spans="1:9">
      <c r="A973" s="2"/>
      <c r="B973" s="1"/>
      <c r="C973" s="1"/>
      <c r="D973" s="1"/>
      <c r="E973" s="1"/>
      <c r="F973" s="1"/>
      <c r="G973" s="1"/>
      <c r="H973" s="1"/>
      <c r="I973" s="11"/>
    </row>
    <row r="974" spans="1:9">
      <c r="A974" s="2"/>
      <c r="B974" s="1"/>
      <c r="C974" s="1"/>
      <c r="D974" s="1"/>
      <c r="E974" s="1"/>
      <c r="F974" s="1"/>
      <c r="G974" s="1"/>
      <c r="H974" s="1"/>
      <c r="I974" s="11"/>
    </row>
    <row r="975" spans="1:9">
      <c r="A975" s="2"/>
      <c r="B975" s="1"/>
      <c r="C975" s="1"/>
      <c r="D975" s="1"/>
      <c r="E975" s="1"/>
      <c r="F975" s="1"/>
      <c r="G975" s="1"/>
      <c r="H975" s="1"/>
      <c r="I975" s="11"/>
    </row>
    <row r="976" spans="1:9">
      <c r="A976" s="2"/>
      <c r="B976" s="1"/>
      <c r="C976" s="1"/>
      <c r="D976" s="1"/>
      <c r="E976" s="1"/>
      <c r="F976" s="1"/>
      <c r="G976" s="1"/>
      <c r="H976" s="1"/>
      <c r="I976" s="11"/>
    </row>
    <row r="977" spans="1:9">
      <c r="A977" s="2"/>
      <c r="B977" s="1"/>
      <c r="C977" s="1"/>
      <c r="D977" s="1"/>
      <c r="E977" s="1"/>
      <c r="F977" s="1"/>
      <c r="G977" s="1"/>
      <c r="H977" s="1"/>
      <c r="I977" s="11"/>
    </row>
    <row r="978" spans="1:9">
      <c r="A978" s="2"/>
      <c r="B978" s="1"/>
      <c r="C978" s="1"/>
      <c r="D978" s="1"/>
      <c r="E978" s="1"/>
      <c r="F978" s="1"/>
      <c r="G978" s="1"/>
      <c r="H978" s="1"/>
      <c r="I978" s="11"/>
    </row>
    <row r="979" spans="1:9">
      <c r="A979" s="2"/>
      <c r="B979" s="1"/>
      <c r="C979" s="1"/>
      <c r="D979" s="1"/>
      <c r="E979" s="1"/>
      <c r="F979" s="1"/>
      <c r="G979" s="1"/>
      <c r="H979" s="1"/>
      <c r="I979" s="11"/>
    </row>
    <row r="980" spans="1:9">
      <c r="A980" s="2"/>
      <c r="B980" s="1"/>
      <c r="C980" s="1"/>
      <c r="D980" s="1"/>
      <c r="E980" s="1"/>
      <c r="F980" s="1"/>
      <c r="G980" s="1"/>
      <c r="H980" s="1"/>
      <c r="I980" s="11"/>
    </row>
    <row r="981" spans="1:9">
      <c r="A981" s="2"/>
      <c r="B981" s="1"/>
      <c r="C981" s="1"/>
      <c r="D981" s="1"/>
      <c r="E981" s="1"/>
      <c r="F981" s="1"/>
      <c r="G981" s="1"/>
      <c r="H981" s="1"/>
      <c r="I981" s="11"/>
    </row>
    <row r="982" spans="1:9">
      <c r="A982" s="2"/>
      <c r="B982" s="1"/>
      <c r="C982" s="1"/>
      <c r="D982" s="1"/>
      <c r="E982" s="1"/>
      <c r="F982" s="1"/>
      <c r="G982" s="1"/>
      <c r="H982" s="1"/>
      <c r="I982" s="11"/>
    </row>
    <row r="983" spans="1:9">
      <c r="A983" s="2"/>
      <c r="B983" s="1"/>
      <c r="C983" s="1"/>
      <c r="D983" s="1"/>
      <c r="E983" s="1"/>
      <c r="F983" s="1"/>
      <c r="G983" s="1"/>
      <c r="H983" s="1"/>
      <c r="I983" s="11"/>
    </row>
    <row r="984" spans="1:9">
      <c r="A984" s="2"/>
      <c r="B984" s="1"/>
      <c r="C984" s="1"/>
      <c r="D984" s="1"/>
      <c r="E984" s="1"/>
      <c r="F984" s="1"/>
      <c r="G984" s="1"/>
      <c r="H984" s="1"/>
      <c r="I984" s="11"/>
    </row>
    <row r="985" spans="1:9">
      <c r="A985" s="2"/>
      <c r="B985" s="1"/>
      <c r="C985" s="1"/>
      <c r="D985" s="1"/>
      <c r="E985" s="1"/>
      <c r="F985" s="1"/>
      <c r="G985" s="1"/>
      <c r="H985" s="1"/>
      <c r="I985" s="11"/>
    </row>
    <row r="986" spans="1:9">
      <c r="A986" s="2"/>
      <c r="B986" s="1"/>
      <c r="C986" s="1"/>
      <c r="D986" s="1"/>
      <c r="E986" s="1"/>
      <c r="F986" s="1"/>
      <c r="G986" s="1"/>
      <c r="H986" s="1"/>
      <c r="I986" s="11"/>
    </row>
    <row r="987" spans="1:9">
      <c r="A987" s="2"/>
      <c r="B987" s="1"/>
      <c r="C987" s="1"/>
      <c r="D987" s="1"/>
      <c r="E987" s="1"/>
      <c r="F987" s="1"/>
      <c r="G987" s="1"/>
      <c r="H987" s="1"/>
      <c r="I987" s="11"/>
    </row>
    <row r="988" spans="1:9">
      <c r="A988" s="2"/>
      <c r="B988" s="1"/>
      <c r="C988" s="1"/>
      <c r="D988" s="1"/>
      <c r="E988" s="1"/>
      <c r="F988" s="1"/>
      <c r="G988" s="1"/>
      <c r="H988" s="1"/>
      <c r="I988" s="11"/>
    </row>
    <row r="989" spans="1:9">
      <c r="A989" s="2"/>
      <c r="B989" s="1"/>
      <c r="C989" s="1"/>
      <c r="D989" s="1"/>
      <c r="E989" s="1"/>
      <c r="F989" s="1"/>
      <c r="G989" s="1"/>
      <c r="H989" s="1"/>
      <c r="I989" s="11"/>
    </row>
    <row r="990" spans="1:9">
      <c r="A990" s="2"/>
      <c r="B990" s="1"/>
      <c r="C990" s="1"/>
      <c r="D990" s="1"/>
      <c r="E990" s="1"/>
      <c r="F990" s="1"/>
      <c r="G990" s="1"/>
      <c r="H990" s="1"/>
      <c r="I990" s="11"/>
    </row>
    <row r="991" spans="1:9">
      <c r="A991" s="2"/>
      <c r="B991" s="1"/>
      <c r="C991" s="1"/>
      <c r="D991" s="1"/>
      <c r="E991" s="1"/>
      <c r="F991" s="1"/>
      <c r="G991" s="1"/>
      <c r="H991" s="1"/>
      <c r="I991" s="11"/>
    </row>
    <row r="992" spans="1:9">
      <c r="A992" s="2"/>
      <c r="B992" s="1"/>
      <c r="C992" s="1"/>
      <c r="D992" s="1"/>
      <c r="E992" s="1"/>
      <c r="F992" s="1"/>
      <c r="G992" s="1"/>
      <c r="H992" s="1"/>
      <c r="I992" s="11"/>
    </row>
    <row r="993" spans="1:9">
      <c r="A993" s="2"/>
      <c r="B993" s="1"/>
      <c r="C993" s="1"/>
      <c r="D993" s="1"/>
      <c r="E993" s="1"/>
      <c r="F993" s="1"/>
      <c r="G993" s="1"/>
      <c r="H993" s="1"/>
      <c r="I993" s="11"/>
    </row>
    <row r="994" spans="1:9">
      <c r="A994" s="2"/>
      <c r="B994" s="1"/>
      <c r="C994" s="1"/>
      <c r="D994" s="1"/>
      <c r="E994" s="1"/>
      <c r="F994" s="1"/>
      <c r="G994" s="1"/>
      <c r="H994" s="1"/>
      <c r="I994" s="11"/>
    </row>
    <row r="995" spans="1:9">
      <c r="A995" s="2"/>
      <c r="B995" s="1"/>
      <c r="C995" s="1"/>
      <c r="D995" s="1"/>
      <c r="E995" s="1"/>
      <c r="F995" s="1"/>
      <c r="G995" s="1"/>
      <c r="H995" s="1"/>
      <c r="I995" s="11"/>
    </row>
    <row r="996" spans="1:9">
      <c r="A996" s="2"/>
      <c r="B996" s="1"/>
      <c r="C996" s="1"/>
      <c r="D996" s="1"/>
      <c r="E996" s="1"/>
      <c r="F996" s="1"/>
      <c r="G996" s="1"/>
      <c r="H996" s="1"/>
      <c r="I996" s="11"/>
    </row>
    <row r="997" spans="1:9">
      <c r="A997" s="2"/>
      <c r="B997" s="1"/>
      <c r="C997" s="1"/>
      <c r="D997" s="1"/>
      <c r="E997" s="1"/>
      <c r="F997" s="1"/>
      <c r="G997" s="1"/>
      <c r="H997" s="1"/>
      <c r="I997" s="11"/>
    </row>
    <row r="998" spans="1:9">
      <c r="A998" s="2"/>
      <c r="B998" s="1"/>
      <c r="C998" s="1"/>
      <c r="D998" s="1"/>
      <c r="E998" s="1"/>
      <c r="F998" s="1"/>
      <c r="G998" s="1"/>
      <c r="H998" s="1"/>
      <c r="I998" s="11"/>
    </row>
    <row r="999" spans="1:9">
      <c r="A999" s="2"/>
      <c r="B999" s="1"/>
      <c r="C999" s="1"/>
      <c r="D999" s="1"/>
      <c r="E999" s="1"/>
      <c r="F999" s="1"/>
      <c r="G999" s="1"/>
      <c r="H999" s="1"/>
      <c r="I999" s="11"/>
    </row>
    <row r="1000" spans="1:9">
      <c r="A1000" s="2"/>
      <c r="B1000" s="1"/>
      <c r="C1000" s="1"/>
      <c r="D1000" s="1"/>
      <c r="E1000" s="1"/>
      <c r="F1000" s="1"/>
      <c r="G1000" s="1"/>
      <c r="H1000" s="1"/>
      <c r="I1000" s="11"/>
    </row>
    <row r="1001" spans="1:9">
      <c r="A1001" s="2"/>
      <c r="B1001" s="1"/>
      <c r="C1001" s="1"/>
      <c r="D1001" s="1"/>
      <c r="E1001" s="1"/>
      <c r="F1001" s="1"/>
      <c r="G1001" s="1"/>
      <c r="H1001" s="1"/>
      <c r="I1001" s="11"/>
    </row>
    <row r="1002" spans="1:9">
      <c r="I1002" s="11"/>
    </row>
    <row r="1003" spans="1:9">
      <c r="I1003" s="11"/>
    </row>
    <row r="1004" spans="1:9">
      <c r="I1004" s="11"/>
    </row>
    <row r="1005" spans="1:9">
      <c r="I1005" s="11"/>
    </row>
    <row r="1006" spans="1:9">
      <c r="I1006" s="11"/>
    </row>
    <row r="1007" spans="1:9">
      <c r="I1007" s="11"/>
    </row>
    <row r="1008" spans="1:9">
      <c r="I1008" s="11"/>
    </row>
    <row r="1009" spans="9:9">
      <c r="I1009" s="11"/>
    </row>
    <row r="1010" spans="9:9">
      <c r="I1010" s="11"/>
    </row>
    <row r="1011" spans="9:9">
      <c r="I1011" s="11"/>
    </row>
    <row r="1012" spans="9:9">
      <c r="I1012" s="11"/>
    </row>
    <row r="1013" spans="9:9">
      <c r="I1013" s="11"/>
    </row>
    <row r="1014" spans="9:9">
      <c r="I1014" s="11"/>
    </row>
    <row r="1015" spans="9:9">
      <c r="I1015" s="11"/>
    </row>
    <row r="1016" spans="9:9">
      <c r="I1016" s="11"/>
    </row>
    <row r="1017" spans="9:9">
      <c r="I1017" s="11"/>
    </row>
    <row r="1018" spans="9:9">
      <c r="I1018" s="11"/>
    </row>
    <row r="1019" spans="9:9">
      <c r="I1019" s="11"/>
    </row>
    <row r="1020" spans="9:9">
      <c r="I1020" s="11"/>
    </row>
    <row r="1021" spans="9:9">
      <c r="I1021" s="11"/>
    </row>
    <row r="1022" spans="9:9">
      <c r="I1022" s="11"/>
    </row>
    <row r="1023" spans="9:9">
      <c r="I1023" s="11"/>
    </row>
    <row r="1024" spans="9:9">
      <c r="I1024" s="11"/>
    </row>
    <row r="1025" spans="9:9">
      <c r="I1025" s="11"/>
    </row>
    <row r="1026" spans="9:9">
      <c r="I1026" s="11"/>
    </row>
    <row r="1027" spans="9:9">
      <c r="I1027" s="11"/>
    </row>
    <row r="1028" spans="9:9">
      <c r="I1028" s="11"/>
    </row>
    <row r="1029" spans="9:9">
      <c r="I1029" s="11"/>
    </row>
    <row r="1030" spans="9:9">
      <c r="I1030" s="11"/>
    </row>
    <row r="1031" spans="9:9">
      <c r="I1031" s="11"/>
    </row>
    <row r="1032" spans="9:9">
      <c r="I1032" s="11"/>
    </row>
    <row r="1033" spans="9:9">
      <c r="I1033" s="11"/>
    </row>
    <row r="1034" spans="9:9">
      <c r="I1034" s="11"/>
    </row>
    <row r="1035" spans="9:9">
      <c r="I1035" s="11"/>
    </row>
    <row r="1036" spans="9:9">
      <c r="I1036" s="11"/>
    </row>
    <row r="1037" spans="9:9">
      <c r="I1037" s="11"/>
    </row>
    <row r="1038" spans="9:9">
      <c r="I1038" s="11"/>
    </row>
    <row r="1039" spans="9:9">
      <c r="I1039" s="11"/>
    </row>
    <row r="1040" spans="9:9">
      <c r="I1040" s="11"/>
    </row>
    <row r="1041" spans="9:9">
      <c r="I1041" s="11"/>
    </row>
    <row r="1042" spans="9:9">
      <c r="I1042" s="11"/>
    </row>
    <row r="1043" spans="9:9">
      <c r="I1043" s="11"/>
    </row>
    <row r="1044" spans="9:9">
      <c r="I1044" s="11"/>
    </row>
    <row r="1045" spans="9:9">
      <c r="I1045" s="11"/>
    </row>
    <row r="1046" spans="9:9">
      <c r="I1046" s="11"/>
    </row>
    <row r="1047" spans="9:9">
      <c r="I1047" s="11"/>
    </row>
    <row r="1048" spans="9:9">
      <c r="I1048" s="11"/>
    </row>
    <row r="1049" spans="9:9">
      <c r="I1049" s="11"/>
    </row>
    <row r="1050" spans="9:9">
      <c r="I1050" s="11"/>
    </row>
    <row r="1051" spans="9:9">
      <c r="I1051" s="11"/>
    </row>
    <row r="1052" spans="9:9">
      <c r="I1052" s="11"/>
    </row>
    <row r="1053" spans="9:9">
      <c r="I1053" s="11"/>
    </row>
    <row r="1054" spans="9:9">
      <c r="I1054" s="11"/>
    </row>
    <row r="1055" spans="9:9">
      <c r="I1055" s="11"/>
    </row>
    <row r="1056" spans="9:9">
      <c r="I1056" s="11"/>
    </row>
    <row r="1057" spans="9:9">
      <c r="I1057" s="11"/>
    </row>
    <row r="1058" spans="9:9">
      <c r="I1058" s="11"/>
    </row>
    <row r="1059" spans="9:9">
      <c r="I1059" s="11"/>
    </row>
    <row r="1060" spans="9:9">
      <c r="I1060" s="11"/>
    </row>
    <row r="1061" spans="9:9">
      <c r="I1061" s="11"/>
    </row>
    <row r="1062" spans="9:9">
      <c r="I1062" s="11"/>
    </row>
    <row r="1063" spans="9:9">
      <c r="I1063" s="11"/>
    </row>
    <row r="1064" spans="9:9">
      <c r="I1064" s="11"/>
    </row>
    <row r="1065" spans="9:9">
      <c r="I1065" s="11"/>
    </row>
    <row r="1066" spans="9:9">
      <c r="I1066" s="11"/>
    </row>
    <row r="1067" spans="9:9">
      <c r="I1067" s="11"/>
    </row>
    <row r="1068" spans="9:9">
      <c r="I1068" s="11"/>
    </row>
    <row r="1069" spans="9:9">
      <c r="I1069" s="11"/>
    </row>
    <row r="1070" spans="9:9">
      <c r="I1070" s="11"/>
    </row>
    <row r="1071" spans="9:9">
      <c r="I1071" s="11"/>
    </row>
    <row r="1072" spans="9:9">
      <c r="I1072" s="11"/>
    </row>
    <row r="1073" spans="9:9">
      <c r="I1073" s="11"/>
    </row>
    <row r="1074" spans="9:9">
      <c r="I1074" s="11"/>
    </row>
    <row r="1075" spans="9:9">
      <c r="I1075" s="11"/>
    </row>
    <row r="1076" spans="9:9">
      <c r="I1076" s="11"/>
    </row>
    <row r="1077" spans="9:9">
      <c r="I1077" s="11"/>
    </row>
    <row r="1078" spans="9:9">
      <c r="I1078" s="11"/>
    </row>
    <row r="1079" spans="9:9">
      <c r="I1079" s="11"/>
    </row>
    <row r="1080" spans="9:9">
      <c r="I1080" s="11"/>
    </row>
    <row r="1081" spans="9:9">
      <c r="I1081" s="11"/>
    </row>
    <row r="1082" spans="9:9">
      <c r="I1082" s="11"/>
    </row>
    <row r="1083" spans="9:9">
      <c r="I1083" s="11"/>
    </row>
    <row r="1084" spans="9:9">
      <c r="I1084" s="11"/>
    </row>
    <row r="1085" spans="9:9">
      <c r="I1085" s="11"/>
    </row>
    <row r="1086" spans="9:9">
      <c r="I1086" s="11"/>
    </row>
    <row r="1087" spans="9:9">
      <c r="I1087" s="11"/>
    </row>
    <row r="1088" spans="9:9">
      <c r="I1088" s="11"/>
    </row>
    <row r="1089" spans="9:9">
      <c r="I1089" s="11"/>
    </row>
    <row r="1090" spans="9:9">
      <c r="I1090" s="11"/>
    </row>
    <row r="1091" spans="9:9">
      <c r="I1091" s="11"/>
    </row>
    <row r="1092" spans="9:9">
      <c r="I1092" s="11"/>
    </row>
    <row r="1093" spans="9:9">
      <c r="I1093" s="11"/>
    </row>
    <row r="1094" spans="9:9">
      <c r="I1094" s="11"/>
    </row>
    <row r="1095" spans="9:9">
      <c r="I1095" s="11"/>
    </row>
    <row r="1096" spans="9:9">
      <c r="I1096" s="11"/>
    </row>
    <row r="1097" spans="9:9">
      <c r="I1097" s="11"/>
    </row>
    <row r="1098" spans="9:9">
      <c r="I1098" s="11"/>
    </row>
    <row r="1099" spans="9:9">
      <c r="I1099" s="11"/>
    </row>
    <row r="1100" spans="9:9">
      <c r="I1100" s="11"/>
    </row>
    <row r="1101" spans="9:9">
      <c r="I1101" s="11"/>
    </row>
    <row r="1102" spans="9:9">
      <c r="I1102" s="11"/>
    </row>
    <row r="1103" spans="9:9">
      <c r="I1103" s="11"/>
    </row>
    <row r="1104" spans="9:9">
      <c r="I1104" s="11"/>
    </row>
    <row r="1105" spans="9:9">
      <c r="I1105" s="11"/>
    </row>
    <row r="1106" spans="9:9">
      <c r="I1106" s="11"/>
    </row>
    <row r="1107" spans="9:9">
      <c r="I1107" s="11"/>
    </row>
    <row r="1108" spans="9:9">
      <c r="I1108" s="11"/>
    </row>
    <row r="1109" spans="9:9">
      <c r="I1109" s="11"/>
    </row>
    <row r="1110" spans="9:9">
      <c r="I1110" s="11"/>
    </row>
    <row r="1111" spans="9:9">
      <c r="I1111" s="11"/>
    </row>
    <row r="1112" spans="9:9">
      <c r="I1112" s="11"/>
    </row>
    <row r="1113" spans="9:9">
      <c r="I1113" s="11"/>
    </row>
    <row r="1114" spans="9:9">
      <c r="I1114" s="11"/>
    </row>
    <row r="1115" spans="9:9">
      <c r="I1115" s="11"/>
    </row>
    <row r="1116" spans="9:9">
      <c r="I1116" s="11"/>
    </row>
    <row r="1117" spans="9:9">
      <c r="I1117" s="11"/>
    </row>
    <row r="1118" spans="9:9">
      <c r="I1118" s="11"/>
    </row>
    <row r="1119" spans="9:9">
      <c r="I1119" s="11"/>
    </row>
    <row r="1120" spans="9:9">
      <c r="I1120" s="11"/>
    </row>
    <row r="1121" spans="9:9">
      <c r="I1121" s="11"/>
    </row>
    <row r="1122" spans="9:9">
      <c r="I1122" s="11"/>
    </row>
    <row r="1123" spans="9:9">
      <c r="I1123" s="11"/>
    </row>
    <row r="1124" spans="9:9">
      <c r="I1124" s="11"/>
    </row>
    <row r="1125" spans="9:9">
      <c r="I1125" s="11"/>
    </row>
    <row r="1126" spans="9:9">
      <c r="I1126" s="11"/>
    </row>
    <row r="1127" spans="9:9">
      <c r="I1127" s="11"/>
    </row>
    <row r="1128" spans="9:9">
      <c r="I1128" s="11"/>
    </row>
    <row r="1129" spans="9:9">
      <c r="I1129" s="11"/>
    </row>
    <row r="1130" spans="9:9">
      <c r="I1130" s="11"/>
    </row>
    <row r="1131" spans="9:9">
      <c r="I1131" s="11"/>
    </row>
    <row r="1132" spans="9:9">
      <c r="I1132" s="11"/>
    </row>
    <row r="1133" spans="9:9">
      <c r="I1133" s="11"/>
    </row>
    <row r="1134" spans="9:9">
      <c r="I1134" s="11"/>
    </row>
    <row r="1135" spans="9:9">
      <c r="I1135" s="11"/>
    </row>
    <row r="1136" spans="9:9">
      <c r="I1136" s="11"/>
    </row>
    <row r="1137" spans="9:9">
      <c r="I1137" s="11"/>
    </row>
    <row r="1138" spans="9:9">
      <c r="I1138" s="11"/>
    </row>
    <row r="1139" spans="9:9">
      <c r="I1139" s="11"/>
    </row>
    <row r="1140" spans="9:9">
      <c r="I1140" s="11"/>
    </row>
    <row r="1141" spans="9:9">
      <c r="I1141" s="11"/>
    </row>
    <row r="1142" spans="9:9">
      <c r="I1142" s="11"/>
    </row>
    <row r="1143" spans="9:9">
      <c r="I1143" s="11"/>
    </row>
    <row r="1144" spans="9:9">
      <c r="I1144" s="11"/>
    </row>
    <row r="1145" spans="9:9">
      <c r="I1145" s="11"/>
    </row>
    <row r="1146" spans="9:9">
      <c r="I1146" s="11"/>
    </row>
    <row r="1147" spans="9:9">
      <c r="I1147" s="11"/>
    </row>
    <row r="1148" spans="9:9">
      <c r="I1148" s="11"/>
    </row>
    <row r="1149" spans="9:9">
      <c r="I1149" s="11"/>
    </row>
    <row r="1150" spans="9:9">
      <c r="I1150" s="11"/>
    </row>
    <row r="1151" spans="9:9">
      <c r="I1151" s="11"/>
    </row>
    <row r="1152" spans="9:9">
      <c r="I1152" s="11"/>
    </row>
    <row r="1153" spans="9:9">
      <c r="I1153" s="11"/>
    </row>
    <row r="1154" spans="9:9">
      <c r="I1154" s="11"/>
    </row>
    <row r="1155" spans="9:9">
      <c r="I1155" s="11"/>
    </row>
    <row r="1156" spans="9:9">
      <c r="I1156" s="11"/>
    </row>
    <row r="1157" spans="9:9">
      <c r="I1157" s="11"/>
    </row>
    <row r="1158" spans="9:9">
      <c r="I1158" s="11"/>
    </row>
    <row r="1159" spans="9:9">
      <c r="I1159" s="11"/>
    </row>
    <row r="1160" spans="9:9">
      <c r="I1160" s="11"/>
    </row>
    <row r="1161" spans="9:9">
      <c r="I1161" s="11"/>
    </row>
    <row r="1162" spans="9:9">
      <c r="I1162" s="11"/>
    </row>
    <row r="1163" spans="9:9">
      <c r="I1163" s="11"/>
    </row>
    <row r="1164" spans="9:9">
      <c r="I1164" s="11"/>
    </row>
    <row r="1165" spans="9:9">
      <c r="I1165" s="11"/>
    </row>
    <row r="1166" spans="9:9">
      <c r="I1166" s="11"/>
    </row>
    <row r="1167" spans="9:9">
      <c r="I1167" s="11"/>
    </row>
    <row r="1168" spans="9:9">
      <c r="I1168" s="11"/>
    </row>
    <row r="1169" spans="9:9">
      <c r="I1169" s="11"/>
    </row>
    <row r="1170" spans="9:9">
      <c r="I1170" s="11"/>
    </row>
    <row r="1171" spans="9:9">
      <c r="I1171" s="11"/>
    </row>
    <row r="1172" spans="9:9">
      <c r="I1172" s="11"/>
    </row>
    <row r="1173" spans="9:9">
      <c r="I1173" s="11"/>
    </row>
    <row r="1174" spans="9:9">
      <c r="I1174" s="11"/>
    </row>
    <row r="1175" spans="9:9">
      <c r="I1175" s="11"/>
    </row>
    <row r="1176" spans="9:9">
      <c r="I1176" s="11"/>
    </row>
    <row r="1177" spans="9:9">
      <c r="I1177" s="11"/>
    </row>
    <row r="1178" spans="9:9">
      <c r="I1178" s="11"/>
    </row>
    <row r="1179" spans="9:9">
      <c r="I1179" s="11"/>
    </row>
    <row r="1180" spans="9:9">
      <c r="I1180" s="11"/>
    </row>
    <row r="1181" spans="9:9">
      <c r="I1181" s="11"/>
    </row>
    <row r="1182" spans="9:9">
      <c r="I1182" s="11"/>
    </row>
    <row r="1183" spans="9:9">
      <c r="I1183" s="11"/>
    </row>
    <row r="1184" spans="9:9">
      <c r="I1184" s="11"/>
    </row>
    <row r="1185" spans="9:9">
      <c r="I1185" s="11"/>
    </row>
    <row r="1186" spans="9:9">
      <c r="I1186" s="11"/>
    </row>
    <row r="1187" spans="9:9">
      <c r="I1187" s="11"/>
    </row>
    <row r="1188" spans="9:9">
      <c r="I1188" s="11"/>
    </row>
    <row r="1189" spans="9:9">
      <c r="I1189" s="11"/>
    </row>
    <row r="1190" spans="9:9">
      <c r="I1190" s="11"/>
    </row>
    <row r="1191" spans="9:9">
      <c r="I1191" s="11"/>
    </row>
    <row r="1192" spans="9:9">
      <c r="I1192" s="11"/>
    </row>
    <row r="1193" spans="9:9">
      <c r="I1193" s="11"/>
    </row>
    <row r="1194" spans="9:9">
      <c r="I1194" s="11"/>
    </row>
    <row r="1195" spans="9:9">
      <c r="I1195" s="11"/>
    </row>
    <row r="1196" spans="9:9">
      <c r="I1196" s="11"/>
    </row>
    <row r="1197" spans="9:9">
      <c r="I1197" s="11"/>
    </row>
    <row r="1198" spans="9:9">
      <c r="I1198" s="11"/>
    </row>
    <row r="1199" spans="9:9">
      <c r="I1199" s="11"/>
    </row>
    <row r="1200" spans="9:9">
      <c r="I1200" s="11"/>
    </row>
    <row r="1201" spans="9:9">
      <c r="I1201" s="11"/>
    </row>
    <row r="1202" spans="9:9">
      <c r="I1202" s="11"/>
    </row>
    <row r="1203" spans="9:9">
      <c r="I1203" s="11"/>
    </row>
    <row r="1204" spans="9:9">
      <c r="I1204" s="11"/>
    </row>
    <row r="1205" spans="9:9">
      <c r="I1205" s="11"/>
    </row>
    <row r="1206" spans="9:9">
      <c r="I1206" s="11"/>
    </row>
    <row r="1207" spans="9:9">
      <c r="I1207" s="11"/>
    </row>
    <row r="1208" spans="9:9">
      <c r="I1208" s="11"/>
    </row>
    <row r="1209" spans="9:9">
      <c r="I1209" s="11"/>
    </row>
    <row r="1210" spans="9:9">
      <c r="I1210" s="11"/>
    </row>
    <row r="1211" spans="9:9">
      <c r="I1211" s="11"/>
    </row>
    <row r="1212" spans="9:9">
      <c r="I1212" s="11"/>
    </row>
    <row r="1213" spans="9:9">
      <c r="I1213" s="11"/>
    </row>
    <row r="1214" spans="9:9">
      <c r="I1214" s="11"/>
    </row>
    <row r="1215" spans="9:9">
      <c r="I1215" s="11"/>
    </row>
    <row r="1216" spans="9:9">
      <c r="I1216" s="11"/>
    </row>
    <row r="1217" spans="9:9">
      <c r="I1217" s="11"/>
    </row>
    <row r="1218" spans="9:9">
      <c r="I1218" s="11"/>
    </row>
    <row r="1219" spans="9:9">
      <c r="I1219" s="11"/>
    </row>
    <row r="1220" spans="9:9">
      <c r="I1220" s="11"/>
    </row>
    <row r="1221" spans="9:9">
      <c r="I1221" s="11"/>
    </row>
    <row r="1222" spans="9:9">
      <c r="I1222" s="11"/>
    </row>
    <row r="1223" spans="9:9">
      <c r="I1223" s="11"/>
    </row>
    <row r="1224" spans="9:9">
      <c r="I1224" s="11"/>
    </row>
    <row r="1225" spans="9:9">
      <c r="I1225" s="11"/>
    </row>
    <row r="1226" spans="9:9">
      <c r="I1226" s="11"/>
    </row>
    <row r="1227" spans="9:9">
      <c r="I1227" s="11"/>
    </row>
    <row r="1228" spans="9:9">
      <c r="I1228" s="11"/>
    </row>
    <row r="1229" spans="9:9">
      <c r="I1229" s="11"/>
    </row>
    <row r="1230" spans="9:9">
      <c r="I1230" s="11"/>
    </row>
    <row r="1231" spans="9:9">
      <c r="I1231" s="11"/>
    </row>
    <row r="1232" spans="9:9">
      <c r="I1232" s="11"/>
    </row>
    <row r="1233" spans="9:9">
      <c r="I1233" s="11"/>
    </row>
    <row r="1234" spans="9:9">
      <c r="I1234" s="11"/>
    </row>
    <row r="1235" spans="9:9">
      <c r="I1235" s="11"/>
    </row>
    <row r="1236" spans="9:9">
      <c r="I1236" s="11"/>
    </row>
    <row r="1237" spans="9:9">
      <c r="I1237" s="11"/>
    </row>
    <row r="1238" spans="9:9">
      <c r="I1238" s="11"/>
    </row>
    <row r="1239" spans="9:9">
      <c r="I1239" s="11"/>
    </row>
    <row r="1240" spans="9:9">
      <c r="I1240" s="11"/>
    </row>
    <row r="1241" spans="9:9">
      <c r="I1241" s="11"/>
    </row>
    <row r="1242" spans="9:9">
      <c r="I1242" s="11"/>
    </row>
    <row r="1243" spans="9:9">
      <c r="I1243" s="11"/>
    </row>
    <row r="1244" spans="9:9">
      <c r="I1244" s="11"/>
    </row>
    <row r="1245" spans="9:9">
      <c r="I1245" s="11"/>
    </row>
    <row r="1246" spans="9:9">
      <c r="I1246" s="11"/>
    </row>
    <row r="1247" spans="9:9">
      <c r="I1247" s="11"/>
    </row>
    <row r="1248" spans="9:9">
      <c r="I1248" s="11"/>
    </row>
    <row r="1249" spans="9:9">
      <c r="I1249" s="11"/>
    </row>
    <row r="1250" spans="9:9">
      <c r="I1250" s="11"/>
    </row>
    <row r="1251" spans="9:9">
      <c r="I1251" s="11"/>
    </row>
    <row r="1252" spans="9:9">
      <c r="I1252" s="11"/>
    </row>
    <row r="1253" spans="9:9">
      <c r="I1253" s="11"/>
    </row>
    <row r="1254" spans="9:9">
      <c r="I1254" s="11"/>
    </row>
    <row r="1255" spans="9:9">
      <c r="I1255" s="11"/>
    </row>
    <row r="1256" spans="9:9">
      <c r="I1256" s="11"/>
    </row>
    <row r="1257" spans="9:9">
      <c r="I1257" s="11"/>
    </row>
    <row r="1258" spans="9:9">
      <c r="I1258" s="11"/>
    </row>
    <row r="1259" spans="9:9">
      <c r="I1259" s="11"/>
    </row>
    <row r="1260" spans="9:9">
      <c r="I1260" s="11"/>
    </row>
    <row r="1261" spans="9:9">
      <c r="I1261" s="11"/>
    </row>
    <row r="1262" spans="9:9">
      <c r="I1262" s="11"/>
    </row>
    <row r="1263" spans="9:9">
      <c r="I1263" s="11"/>
    </row>
    <row r="1264" spans="9:9">
      <c r="I1264" s="11"/>
    </row>
    <row r="1265" spans="9:9">
      <c r="I1265" s="11"/>
    </row>
    <row r="1266" spans="9:9">
      <c r="I1266" s="11"/>
    </row>
    <row r="1267" spans="9:9">
      <c r="I1267" s="11"/>
    </row>
    <row r="1268" spans="9:9">
      <c r="I1268" s="11"/>
    </row>
    <row r="1269" spans="9:9">
      <c r="I1269" s="11"/>
    </row>
    <row r="1270" spans="9:9">
      <c r="I1270" s="11"/>
    </row>
    <row r="1271" spans="9:9">
      <c r="I1271" s="11"/>
    </row>
    <row r="1272" spans="9:9">
      <c r="I1272" s="11"/>
    </row>
    <row r="1273" spans="9:9">
      <c r="I1273" s="11"/>
    </row>
    <row r="1274" spans="9:9">
      <c r="I1274" s="11"/>
    </row>
    <row r="1275" spans="9:9">
      <c r="I1275" s="11"/>
    </row>
    <row r="1276" spans="9:9">
      <c r="I1276" s="11"/>
    </row>
    <row r="1277" spans="9:9">
      <c r="I1277" s="11"/>
    </row>
    <row r="1278" spans="9:9">
      <c r="I1278" s="11"/>
    </row>
    <row r="1279" spans="9:9">
      <c r="I1279" s="11"/>
    </row>
    <row r="1280" spans="9:9">
      <c r="I1280" s="11"/>
    </row>
    <row r="1281" spans="9:9">
      <c r="I1281" s="11"/>
    </row>
    <row r="1282" spans="9:9">
      <c r="I1282" s="11"/>
    </row>
    <row r="1283" spans="9:9">
      <c r="I1283" s="11"/>
    </row>
    <row r="1284" spans="9:9">
      <c r="I1284" s="11"/>
    </row>
    <row r="1285" spans="9:9">
      <c r="I1285" s="11"/>
    </row>
    <row r="1286" spans="9:9">
      <c r="I1286" s="11"/>
    </row>
    <row r="1287" spans="9:9">
      <c r="I1287" s="11"/>
    </row>
    <row r="1288" spans="9:9">
      <c r="I1288" s="11"/>
    </row>
    <row r="1289" spans="9:9">
      <c r="I1289" s="11"/>
    </row>
    <row r="1290" spans="9:9">
      <c r="I1290" s="11"/>
    </row>
    <row r="1291" spans="9:9">
      <c r="I1291" s="11"/>
    </row>
    <row r="1292" spans="9:9">
      <c r="I1292" s="11"/>
    </row>
    <row r="1293" spans="9:9">
      <c r="I1293" s="11"/>
    </row>
    <row r="1294" spans="9:9">
      <c r="I1294" s="11"/>
    </row>
    <row r="1295" spans="9:9">
      <c r="I1295" s="11"/>
    </row>
    <row r="1296" spans="9:9">
      <c r="I1296" s="11"/>
    </row>
    <row r="1297" spans="9:9">
      <c r="I1297" s="11"/>
    </row>
    <row r="1298" spans="9:9">
      <c r="I1298" s="11"/>
    </row>
    <row r="1299" spans="9:9">
      <c r="I1299" s="11"/>
    </row>
    <row r="1300" spans="9:9">
      <c r="I1300" s="11"/>
    </row>
    <row r="1301" spans="9:9">
      <c r="I1301" s="11"/>
    </row>
    <row r="1302" spans="9:9">
      <c r="I1302" s="11"/>
    </row>
    <row r="1303" spans="9:9">
      <c r="I1303" s="11"/>
    </row>
    <row r="1304" spans="9:9">
      <c r="I1304" s="11"/>
    </row>
    <row r="1305" spans="9:9">
      <c r="I1305" s="11"/>
    </row>
    <row r="1306" spans="9:9">
      <c r="I1306" s="11"/>
    </row>
    <row r="1307" spans="9:9">
      <c r="I1307" s="11"/>
    </row>
    <row r="1308" spans="9:9">
      <c r="I1308" s="11"/>
    </row>
    <row r="1309" spans="9:9">
      <c r="I1309" s="11"/>
    </row>
    <row r="1310" spans="9:9">
      <c r="I1310" s="11"/>
    </row>
    <row r="1311" spans="9:9">
      <c r="I1311" s="11"/>
    </row>
    <row r="1312" spans="9:9">
      <c r="I1312" s="11"/>
    </row>
    <row r="1313" spans="9:9">
      <c r="I1313" s="11"/>
    </row>
    <row r="1314" spans="9:9">
      <c r="I1314" s="11"/>
    </row>
    <row r="1315" spans="9:9">
      <c r="I1315" s="11"/>
    </row>
    <row r="1316" spans="9:9">
      <c r="I1316" s="11"/>
    </row>
    <row r="1317" spans="9:9">
      <c r="I1317" s="11"/>
    </row>
    <row r="1318" spans="9:9">
      <c r="I1318" s="11"/>
    </row>
    <row r="1319" spans="9:9">
      <c r="I1319" s="11"/>
    </row>
    <row r="1320" spans="9:9">
      <c r="I1320" s="11"/>
    </row>
    <row r="1321" spans="9:9">
      <c r="I1321" s="11"/>
    </row>
    <row r="1322" spans="9:9">
      <c r="I1322" s="11"/>
    </row>
    <row r="1323" spans="9:9">
      <c r="I1323" s="11"/>
    </row>
    <row r="1324" spans="9:9">
      <c r="I1324" s="11"/>
    </row>
    <row r="1325" spans="9:9">
      <c r="I1325" s="11"/>
    </row>
    <row r="1326" spans="9:9">
      <c r="I1326" s="11"/>
    </row>
    <row r="1327" spans="9:9">
      <c r="I1327" s="11"/>
    </row>
    <row r="1328" spans="9:9">
      <c r="I1328" s="11"/>
    </row>
    <row r="1329" spans="9:9">
      <c r="I1329" s="11"/>
    </row>
    <row r="1330" spans="9:9">
      <c r="I1330" s="11"/>
    </row>
    <row r="1331" spans="9:9">
      <c r="I1331" s="11"/>
    </row>
    <row r="1332" spans="9:9">
      <c r="I1332" s="11"/>
    </row>
    <row r="1333" spans="9:9">
      <c r="I1333" s="11"/>
    </row>
    <row r="1334" spans="9:9">
      <c r="I1334" s="11"/>
    </row>
    <row r="1335" spans="9:9">
      <c r="I1335" s="11"/>
    </row>
    <row r="1336" spans="9:9">
      <c r="I1336" s="11"/>
    </row>
    <row r="1337" spans="9:9">
      <c r="I1337" s="11"/>
    </row>
    <row r="1338" spans="9:9">
      <c r="I1338" s="11"/>
    </row>
    <row r="1339" spans="9:9">
      <c r="I1339" s="11"/>
    </row>
    <row r="1340" spans="9:9">
      <c r="I1340" s="11"/>
    </row>
    <row r="1341" spans="9:9">
      <c r="I1341" s="11"/>
    </row>
    <row r="1342" spans="9:9">
      <c r="I1342" s="11"/>
    </row>
    <row r="1343" spans="9:9">
      <c r="I1343" s="11"/>
    </row>
    <row r="1344" spans="9:9">
      <c r="I1344" s="11"/>
    </row>
    <row r="1345" spans="9:9">
      <c r="I1345" s="11"/>
    </row>
    <row r="1346" spans="9:9">
      <c r="I1346" s="11"/>
    </row>
    <row r="1347" spans="9:9">
      <c r="I1347" s="11"/>
    </row>
    <row r="1348" spans="9:9">
      <c r="I1348" s="11"/>
    </row>
    <row r="1349" spans="9:9">
      <c r="I1349" s="11"/>
    </row>
    <row r="1350" spans="9:9">
      <c r="I1350" s="11"/>
    </row>
    <row r="1351" spans="9:9">
      <c r="I1351" s="11"/>
    </row>
    <row r="1352" spans="9:9">
      <c r="I1352" s="11"/>
    </row>
    <row r="1353" spans="9:9">
      <c r="I1353" s="11"/>
    </row>
    <row r="1354" spans="9:9">
      <c r="I1354" s="11"/>
    </row>
    <row r="1355" spans="9:9">
      <c r="I1355" s="11"/>
    </row>
    <row r="1356" spans="9:9">
      <c r="I1356" s="11"/>
    </row>
    <row r="1357" spans="9:9">
      <c r="I1357" s="11"/>
    </row>
    <row r="1358" spans="9:9">
      <c r="I1358" s="11"/>
    </row>
    <row r="1359" spans="9:9">
      <c r="I1359" s="11"/>
    </row>
    <row r="1360" spans="9:9">
      <c r="I1360" s="11"/>
    </row>
    <row r="1361" spans="9:9">
      <c r="I1361" s="11"/>
    </row>
    <row r="1362" spans="9:9">
      <c r="I1362" s="11"/>
    </row>
    <row r="1363" spans="9:9">
      <c r="I1363" s="11"/>
    </row>
    <row r="1364" spans="9:9">
      <c r="I1364" s="11"/>
    </row>
    <row r="1365" spans="9:9">
      <c r="I1365" s="11"/>
    </row>
    <row r="1366" spans="9:9">
      <c r="I1366" s="11"/>
    </row>
    <row r="1367" spans="9:9">
      <c r="I1367" s="11"/>
    </row>
    <row r="1368" spans="9:9">
      <c r="I1368" s="11"/>
    </row>
    <row r="1369" spans="9:9">
      <c r="I1369" s="11"/>
    </row>
    <row r="1370" spans="9:9">
      <c r="I1370" s="11"/>
    </row>
    <row r="1371" spans="9:9">
      <c r="I1371" s="11"/>
    </row>
    <row r="1372" spans="9:9">
      <c r="I1372" s="11"/>
    </row>
    <row r="1373" spans="9:9">
      <c r="I1373" s="11"/>
    </row>
    <row r="1374" spans="9:9">
      <c r="I1374" s="11"/>
    </row>
    <row r="1375" spans="9:9">
      <c r="I1375" s="11"/>
    </row>
    <row r="1376" spans="9:9">
      <c r="I1376" s="11"/>
    </row>
    <row r="1377" spans="9:9">
      <c r="I1377" s="11"/>
    </row>
    <row r="1378" spans="9:9">
      <c r="I1378" s="11"/>
    </row>
    <row r="1379" spans="9:9">
      <c r="I1379" s="11"/>
    </row>
    <row r="1380" spans="9:9">
      <c r="I1380" s="11"/>
    </row>
    <row r="1381" spans="9:9">
      <c r="I1381" s="11"/>
    </row>
    <row r="1382" spans="9:9">
      <c r="I1382" s="11"/>
    </row>
    <row r="1383" spans="9:9">
      <c r="I1383" s="11"/>
    </row>
    <row r="1384" spans="9:9">
      <c r="I1384" s="11"/>
    </row>
    <row r="1385" spans="9:9">
      <c r="I1385" s="11"/>
    </row>
    <row r="1386" spans="9:9">
      <c r="I1386" s="11"/>
    </row>
    <row r="1387" spans="9:9">
      <c r="I1387" s="11"/>
    </row>
    <row r="1388" spans="9:9">
      <c r="I1388" s="11"/>
    </row>
    <row r="1389" spans="9:9">
      <c r="I1389" s="11"/>
    </row>
    <row r="1390" spans="9:9">
      <c r="I1390" s="11"/>
    </row>
    <row r="1391" spans="9:9">
      <c r="I1391" s="11"/>
    </row>
    <row r="1392" spans="9:9">
      <c r="I1392" s="11"/>
    </row>
    <row r="1393" spans="9:9">
      <c r="I1393" s="11"/>
    </row>
    <row r="1394" spans="9:9">
      <c r="I1394" s="11"/>
    </row>
    <row r="1395" spans="9:9">
      <c r="I1395" s="11"/>
    </row>
    <row r="1396" spans="9:9">
      <c r="I1396" s="11"/>
    </row>
    <row r="1397" spans="9:9">
      <c r="I1397" s="11"/>
    </row>
    <row r="1398" spans="9:9">
      <c r="I1398" s="11"/>
    </row>
    <row r="1399" spans="9:9">
      <c r="I1399" s="11"/>
    </row>
    <row r="1400" spans="9:9">
      <c r="I1400" s="11"/>
    </row>
    <row r="1401" spans="9:9">
      <c r="I1401" s="11"/>
    </row>
    <row r="1402" spans="9:9">
      <c r="I1402" s="11"/>
    </row>
    <row r="1403" spans="9:9">
      <c r="I1403" s="11"/>
    </row>
    <row r="1404" spans="9:9">
      <c r="I1404" s="11"/>
    </row>
    <row r="1405" spans="9:9">
      <c r="I1405" s="11"/>
    </row>
    <row r="1406" spans="9:9">
      <c r="I1406" s="11"/>
    </row>
    <row r="1407" spans="9:9">
      <c r="I1407" s="11"/>
    </row>
    <row r="1408" spans="9:9">
      <c r="I1408" s="11"/>
    </row>
    <row r="1409" spans="9:9">
      <c r="I1409" s="11"/>
    </row>
    <row r="1410" spans="9:9">
      <c r="I1410" s="11"/>
    </row>
    <row r="1411" spans="9:9">
      <c r="I1411" s="11"/>
    </row>
    <row r="1412" spans="9:9">
      <c r="I1412" s="11"/>
    </row>
    <row r="1413" spans="9:9">
      <c r="I1413" s="11"/>
    </row>
    <row r="1414" spans="9:9">
      <c r="I1414" s="11"/>
    </row>
    <row r="1415" spans="9:9">
      <c r="I1415" s="11"/>
    </row>
    <row r="1416" spans="9:9">
      <c r="I1416" s="11"/>
    </row>
    <row r="1417" spans="9:9">
      <c r="I1417" s="11"/>
    </row>
    <row r="1418" spans="9:9">
      <c r="I1418" s="11"/>
    </row>
    <row r="1419" spans="9:9">
      <c r="I1419" s="11"/>
    </row>
    <row r="1420" spans="9:9">
      <c r="I1420" s="11"/>
    </row>
    <row r="1421" spans="9:9">
      <c r="I1421" s="11"/>
    </row>
    <row r="1422" spans="9:9">
      <c r="I1422" s="11"/>
    </row>
    <row r="1423" spans="9:9">
      <c r="I1423" s="11"/>
    </row>
    <row r="1424" spans="9:9">
      <c r="I1424" s="11"/>
    </row>
    <row r="1425" spans="9:9">
      <c r="I1425" s="11"/>
    </row>
    <row r="1426" spans="9:9">
      <c r="I1426" s="11"/>
    </row>
    <row r="1427" spans="9:9">
      <c r="I1427" s="11"/>
    </row>
    <row r="1428" spans="9:9">
      <c r="I1428" s="11"/>
    </row>
    <row r="1429" spans="9:9">
      <c r="I1429" s="11"/>
    </row>
    <row r="1430" spans="9:9">
      <c r="I1430" s="11"/>
    </row>
    <row r="1431" spans="9:9">
      <c r="I1431" s="11"/>
    </row>
    <row r="1432" spans="9:9">
      <c r="I1432" s="11"/>
    </row>
    <row r="1433" spans="9:9">
      <c r="I1433" s="11"/>
    </row>
    <row r="1434" spans="9:9">
      <c r="I1434" s="11"/>
    </row>
    <row r="1435" spans="9:9">
      <c r="I1435" s="11"/>
    </row>
    <row r="1436" spans="9:9">
      <c r="I1436" s="11"/>
    </row>
    <row r="1437" spans="9:9">
      <c r="I1437" s="11"/>
    </row>
    <row r="1438" spans="9:9">
      <c r="I1438" s="11"/>
    </row>
    <row r="1439" spans="9:9">
      <c r="I1439" s="11"/>
    </row>
    <row r="1440" spans="9:9">
      <c r="I1440" s="11"/>
    </row>
    <row r="1441" spans="9:9">
      <c r="I1441" s="11"/>
    </row>
    <row r="1442" spans="9:9">
      <c r="I1442" s="11"/>
    </row>
    <row r="1443" spans="9:9">
      <c r="I1443" s="11"/>
    </row>
    <row r="1444" spans="9:9">
      <c r="I1444" s="11"/>
    </row>
    <row r="1445" spans="9:9">
      <c r="I1445" s="11"/>
    </row>
    <row r="1446" spans="9:9">
      <c r="I1446" s="11"/>
    </row>
    <row r="1447" spans="9:9">
      <c r="I1447" s="11"/>
    </row>
    <row r="1448" spans="9:9">
      <c r="I1448" s="11"/>
    </row>
    <row r="1449" spans="9:9">
      <c r="I1449" s="11"/>
    </row>
    <row r="1450" spans="9:9">
      <c r="I1450" s="11"/>
    </row>
    <row r="1451" spans="9:9">
      <c r="I1451" s="11"/>
    </row>
    <row r="1452" spans="9:9">
      <c r="I1452" s="11"/>
    </row>
    <row r="1453" spans="9:9">
      <c r="I1453" s="11"/>
    </row>
    <row r="1454" spans="9:9">
      <c r="I1454" s="11"/>
    </row>
    <row r="1455" spans="9:9">
      <c r="I1455" s="11"/>
    </row>
    <row r="1456" spans="9:9">
      <c r="I1456" s="11"/>
    </row>
    <row r="1457" spans="9:9">
      <c r="I1457" s="11"/>
    </row>
    <row r="1458" spans="9:9">
      <c r="I1458" s="11"/>
    </row>
    <row r="1459" spans="9:9">
      <c r="I1459" s="11"/>
    </row>
    <row r="1460" spans="9:9">
      <c r="I1460" s="11"/>
    </row>
    <row r="1461" spans="9:9">
      <c r="I1461" s="11"/>
    </row>
    <row r="1462" spans="9:9">
      <c r="I1462" s="11"/>
    </row>
    <row r="1463" spans="9:9">
      <c r="I1463" s="11"/>
    </row>
    <row r="1464" spans="9:9">
      <c r="I1464" s="11"/>
    </row>
    <row r="1465" spans="9:9">
      <c r="I1465" s="11"/>
    </row>
    <row r="1466" spans="9:9">
      <c r="I1466" s="11"/>
    </row>
    <row r="1467" spans="9:9">
      <c r="I1467" s="11"/>
    </row>
    <row r="1468" spans="9:9">
      <c r="I1468" s="11"/>
    </row>
    <row r="1469" spans="9:9">
      <c r="I1469" s="11"/>
    </row>
    <row r="1470" spans="9:9">
      <c r="I1470" s="11"/>
    </row>
    <row r="1471" spans="9:9">
      <c r="I1471" s="11"/>
    </row>
    <row r="1472" spans="9:9">
      <c r="I1472" s="11"/>
    </row>
    <row r="1473" spans="9:9">
      <c r="I1473" s="11"/>
    </row>
    <row r="1474" spans="9:9">
      <c r="I1474" s="11"/>
    </row>
    <row r="1475" spans="9:9">
      <c r="I1475" s="11"/>
    </row>
    <row r="1476" spans="9:9">
      <c r="I1476" s="11"/>
    </row>
    <row r="1477" spans="9:9">
      <c r="I1477" s="11"/>
    </row>
    <row r="1478" spans="9:9">
      <c r="I1478" s="11"/>
    </row>
    <row r="1479" spans="9:9">
      <c r="I1479" s="11"/>
    </row>
    <row r="1480" spans="9:9">
      <c r="I1480" s="11"/>
    </row>
    <row r="1481" spans="9:9">
      <c r="I1481" s="11"/>
    </row>
    <row r="1482" spans="9:9">
      <c r="I1482" s="11"/>
    </row>
    <row r="1483" spans="9:9">
      <c r="I1483" s="11"/>
    </row>
    <row r="1484" spans="9:9">
      <c r="I1484" s="11"/>
    </row>
    <row r="1485" spans="9:9">
      <c r="I1485" s="11"/>
    </row>
    <row r="1486" spans="9:9">
      <c r="I1486" s="11"/>
    </row>
    <row r="1487" spans="9:9">
      <c r="I1487" s="11"/>
    </row>
    <row r="1488" spans="9:9">
      <c r="I1488" s="11"/>
    </row>
    <row r="1489" spans="9:9">
      <c r="I1489" s="11"/>
    </row>
    <row r="1490" spans="9:9">
      <c r="I1490" s="11"/>
    </row>
    <row r="1491" spans="9:9">
      <c r="I1491" s="11"/>
    </row>
    <row r="1492" spans="9:9">
      <c r="I1492" s="11"/>
    </row>
    <row r="1493" spans="9:9">
      <c r="I1493" s="11"/>
    </row>
    <row r="1494" spans="9:9">
      <c r="I1494" s="11"/>
    </row>
    <row r="1495" spans="9:9">
      <c r="I1495" s="11"/>
    </row>
    <row r="1496" spans="9:9">
      <c r="I1496" s="11"/>
    </row>
    <row r="1497" spans="9:9">
      <c r="I1497" s="11"/>
    </row>
    <row r="1498" spans="9:9">
      <c r="I1498" s="11"/>
    </row>
    <row r="1499" spans="9:9">
      <c r="I1499" s="11"/>
    </row>
    <row r="1500" spans="9:9">
      <c r="I1500" s="11"/>
    </row>
    <row r="1501" spans="9:9">
      <c r="I1501" s="11"/>
    </row>
  </sheetData>
  <dataValidations count="2">
    <dataValidation type="list" sqref="H2:H1001" xr:uid="{00000000-0002-0000-0100-000000000000}">
      <formula1>"Đang hoạt động,Tạm ngừng,Ngừng hoạt động"</formula1>
    </dataValidation>
    <dataValidation type="list" allowBlank="1" sqref="I2:I1501" xr:uid="{00000000-0002-0000-0100-000001000000}">
      <formula1>"Doanh nghiệp nhà nước,Doanh nghiệp ngoài nhà nước,Doanh nghiệp có vốn đầu tư nước ngoài (FDI)"</formula1>
    </dataValidation>
  </dataValidation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01"/>
  <sheetViews>
    <sheetView workbookViewId="0">
      <selection activeCell="H12" sqref="H12"/>
    </sheetView>
  </sheetViews>
  <sheetFormatPr defaultRowHeight="14.25"/>
  <cols>
    <col min="1" max="1" width="9.625" customWidth="1"/>
    <col min="2" max="2" width="8.625" customWidth="1"/>
    <col min="3" max="3" width="12.625" customWidth="1"/>
    <col min="4" max="4" width="9.875" customWidth="1"/>
    <col min="5" max="5" width="8.375" customWidth="1"/>
    <col min="6" max="6" width="8.125" customWidth="1"/>
    <col min="7" max="7" width="7.25" customWidth="1"/>
    <col min="8" max="8" width="13" customWidth="1"/>
    <col min="9" max="9" width="10.75" customWidth="1"/>
    <col min="10" max="10" width="9.5" customWidth="1"/>
    <col min="11" max="11" width="8.625" customWidth="1"/>
    <col min="12" max="12" width="9.625" customWidth="1"/>
    <col min="13" max="13" width="10.125" customWidth="1"/>
    <col min="14" max="14" width="9.125" customWidth="1"/>
    <col min="15" max="15" width="5.75" customWidth="1"/>
    <col min="16" max="16" width="8.25" customWidth="1"/>
    <col min="17" max="17" width="6.875" customWidth="1"/>
    <col min="18" max="18" width="7.75" customWidth="1"/>
    <col min="19" max="19" width="6" customWidth="1"/>
    <col min="20" max="20" width="15" customWidth="1"/>
    <col min="21" max="21" width="14" customWidth="1"/>
    <col min="22" max="22" width="15" customWidth="1"/>
    <col min="23" max="23" width="14" customWidth="1"/>
    <col min="24" max="24" width="15" customWidth="1"/>
    <col min="25" max="25" width="16" customWidth="1"/>
    <col min="26" max="26" width="14" customWidth="1"/>
    <col min="27" max="27" width="15" customWidth="1"/>
    <col min="28" max="28" width="10" customWidth="1"/>
    <col min="29" max="29" width="9.625" customWidth="1"/>
    <col min="30" max="30" width="10.5" customWidth="1"/>
    <col min="31" max="31" width="10.375" customWidth="1"/>
    <col min="32" max="32" width="10.875" customWidth="1"/>
    <col min="33" max="33" width="8.5" customWidth="1"/>
    <col min="34" max="34" width="13.25" customWidth="1"/>
    <col min="35" max="35" width="18.625" customWidth="1"/>
  </cols>
  <sheetData>
    <row r="1" spans="1:35" ht="65.25" customHeight="1">
      <c r="A1" s="30" t="s">
        <v>31</v>
      </c>
      <c r="B1" s="30" t="s">
        <v>25</v>
      </c>
      <c r="C1" s="30" t="s">
        <v>32</v>
      </c>
      <c r="D1" s="30" t="s">
        <v>33</v>
      </c>
      <c r="E1" s="30" t="s">
        <v>34</v>
      </c>
      <c r="F1" s="30" t="s">
        <v>35</v>
      </c>
      <c r="G1" s="30" t="s">
        <v>36</v>
      </c>
      <c r="H1" s="30" t="s">
        <v>37</v>
      </c>
      <c r="I1" s="30" t="s">
        <v>38</v>
      </c>
      <c r="J1" s="30" t="s">
        <v>39</v>
      </c>
      <c r="K1" s="30" t="s">
        <v>40</v>
      </c>
      <c r="L1" s="30" t="s">
        <v>41</v>
      </c>
      <c r="M1" s="30" t="s">
        <v>42</v>
      </c>
      <c r="N1" s="30" t="s">
        <v>43</v>
      </c>
      <c r="O1" s="30" t="s">
        <v>44</v>
      </c>
      <c r="P1" s="30" t="s">
        <v>45</v>
      </c>
      <c r="Q1" s="30" t="s">
        <v>46</v>
      </c>
      <c r="R1" s="30" t="s">
        <v>47</v>
      </c>
      <c r="S1" s="30" t="s">
        <v>48</v>
      </c>
      <c r="T1" s="30" t="s">
        <v>49</v>
      </c>
      <c r="U1" s="30" t="s">
        <v>50</v>
      </c>
      <c r="V1" s="30" t="s">
        <v>51</v>
      </c>
      <c r="W1" s="30" t="s">
        <v>52</v>
      </c>
      <c r="X1" s="30" t="s">
        <v>53</v>
      </c>
      <c r="Y1" s="30" t="s">
        <v>54</v>
      </c>
      <c r="Z1" s="30" t="s">
        <v>55</v>
      </c>
      <c r="AA1" s="30" t="s">
        <v>56</v>
      </c>
      <c r="AB1" s="30" t="s">
        <v>57</v>
      </c>
      <c r="AC1" s="30" t="s">
        <v>58</v>
      </c>
      <c r="AD1" s="30" t="s">
        <v>59</v>
      </c>
      <c r="AE1" s="30" t="s">
        <v>60</v>
      </c>
      <c r="AF1" s="30" t="s">
        <v>61</v>
      </c>
      <c r="AG1" s="30" t="s">
        <v>62</v>
      </c>
      <c r="AH1" s="30" t="s">
        <v>63</v>
      </c>
      <c r="AI1" s="10" t="s">
        <v>19</v>
      </c>
    </row>
    <row r="2" spans="1:35">
      <c r="A2" s="31"/>
      <c r="B2" s="32"/>
      <c r="C2" s="33" t="str">
        <f>IFERROR(VLOOKUP($B2,DM_Doanh_nghiep!$A$2:$H$1001,2,FALSE),"")</f>
        <v/>
      </c>
      <c r="D2" s="33" t="str">
        <f>IFERROR(VLOOKUP($B2,DM_Doanh_nghiep!$A$2:$H$1001,4,FALSE),"")</f>
        <v/>
      </c>
      <c r="E2" s="33" t="str">
        <f>IFERROR(VLOOKUP($B2,DM_Doanh_nghiep!$A$2:$H$1001,5,FALSE),"")</f>
        <v/>
      </c>
      <c r="F2" s="34"/>
      <c r="G2" s="34"/>
      <c r="H2" s="35"/>
      <c r="I2" s="35"/>
      <c r="J2" s="35"/>
      <c r="K2" s="34"/>
      <c r="L2" s="34"/>
      <c r="M2" s="36" t="str">
        <f t="shared" ref="M2:M33" si="0">IF(OR($A2="",$B2=""),"",SUMIFS($H$2:$H$101,$B$2:$B$101,$B2,$A$2:$A$101,EDATE($A2,-1)))</f>
        <v/>
      </c>
      <c r="N2" s="37" t="str">
        <f t="shared" ref="N2:N33" si="1">IF(OR($H2="",$M2="",$M2=0),"",$H2/$M2-1)</f>
        <v/>
      </c>
      <c r="O2" s="36" t="str">
        <f t="shared" ref="O2:O33" si="2">IF(OR($A2="",$B2=""),"",SUMIFS($H$2:$H$101,$B$2:$B$101,$B2,$A$2:$A$101,EDATE($A2,-12)))</f>
        <v/>
      </c>
      <c r="P2" s="37" t="str">
        <f t="shared" ref="P2:P33" si="3">IF(OR($H2="",$O2="",$O2=0),"",$H2/$O2-1)</f>
        <v/>
      </c>
      <c r="Q2" s="36" t="str">
        <f t="shared" ref="Q2:Q33" si="4">IF(OR($A2="",$B2=""),"",SUMIFS($H$2:$H$101,$B$2:$B$101,$B2,$A$2:$A$101,"&gt;="&amp;DATE(YEAR($A2),1,1),$A$2:$A$101,"&lt;="&amp;$A2))</f>
        <v/>
      </c>
      <c r="R2" s="36" t="str">
        <f t="shared" ref="R2:R33" si="5">IF(OR($A2="",$B2=""),"",SUMIFS($H$2:$H$101,$B$2:$B$101,$B2,$A$2:$A$101,"&gt;="&amp;DATE(YEAR($A2)-1,1,1),$A$2:$A$101,"&lt;="&amp;EDATE($A2,-12)))</f>
        <v/>
      </c>
      <c r="S2" s="37" t="str">
        <f t="shared" ref="S2:S33" si="6">IF(OR($Q2="",$R2="",$R2=0),"",$Q2/$R2-1)</f>
        <v/>
      </c>
      <c r="T2" s="36" t="str">
        <f t="shared" ref="T2:T33" si="7">IF(OR($A2="",$B2=""),"",SUMIFS($I$2:$I$101,$B$2:$B$101,$B2,$A$2:$A$101,EDATE($A2,-1)))</f>
        <v/>
      </c>
      <c r="U2" s="37" t="str">
        <f t="shared" ref="U2:U33" si="8">IF(OR($I2="",$T2="",$T2=0),"",$I2/$T2-1)</f>
        <v/>
      </c>
      <c r="V2" s="36" t="str">
        <f t="shared" ref="V2:V33" si="9">IF(OR($A2="",$B2=""),"",SUMIFS($I$2:$I$101,$B$2:$B$101,$B2,$A$2:$A$101,EDATE($A2,-12)))</f>
        <v/>
      </c>
      <c r="W2" s="37" t="str">
        <f t="shared" ref="W2:W33" si="10">IF(OR($I2="",$V2="",$V2=0),"",$I2/$V2-1)</f>
        <v/>
      </c>
      <c r="X2" s="36" t="str">
        <f t="shared" ref="X2:X33" si="11">IF(OR($A2="",$B2=""),"",SUMIFS($I$2:$I$101,$B$2:$B$101,$B2,$A$2:$A$101,"&gt;="&amp;DATE(YEAR($A2),1,1),$A$2:$A$101,"&lt;="&amp;$A2))</f>
        <v/>
      </c>
      <c r="Y2" s="36" t="str">
        <f t="shared" ref="Y2:Y33" si="12">IF(OR($A2="",$B2=""),"",SUMIFS($I$2:$I$101,$B$2:$B$101,$B2,$A$2:$A$101,"&gt;="&amp;DATE(YEAR($A2)-1,1,1),$A$2:$A$101,"&lt;="&amp;EDATE($A2,-12)))</f>
        <v/>
      </c>
      <c r="Z2" s="37" t="str">
        <f t="shared" ref="Z2:Z33" si="13">IF(OR($X2="",$Y2="",$Y2=0),"",$X2/$Y2-1)</f>
        <v/>
      </c>
      <c r="AA2" s="36" t="str">
        <f t="shared" ref="AA2:AA33" si="14">IF(OR($A2="",$B2=""),"",SUMIFS($J$2:$J$101,$B$2:$B$101,$B2,$A$2:$A$101,EDATE($A2,-1)))</f>
        <v/>
      </c>
      <c r="AB2" s="37" t="str">
        <f t="shared" ref="AB2:AB33" si="15">IF(OR($J2="",$AA2="",$AA2=0),"",$J2/$AA2-1)</f>
        <v/>
      </c>
      <c r="AC2" s="36" t="str">
        <f t="shared" ref="AC2:AC33" si="16">IF(OR($A2="",$B2=""),"",SUMIFS($J$2:$J$101,$B$2:$B$101,$B2,$A$2:$A$101,EDATE($A2,-12)))</f>
        <v/>
      </c>
      <c r="AD2" s="37" t="str">
        <f t="shared" ref="AD2:AD33" si="17">IF(OR($J2="",$AC2="",$AC2=0),"",$J2/$AC2-1)</f>
        <v/>
      </c>
      <c r="AE2" s="36" t="str">
        <f t="shared" ref="AE2:AE33" si="18">IF(OR($A2="",$B2=""),"",SUMIFS($J$2:$J$101,$B$2:$B$101,$B2,$A$2:$A$101,"&gt;="&amp;DATE(YEAR($A2),1,1),$A$2:$A$101,"&lt;="&amp;$A2))</f>
        <v/>
      </c>
      <c r="AF2" s="36" t="str">
        <f t="shared" ref="AF2:AF33" si="19">IF(OR($A2="",$B2=""),"",SUMIFS($J$2:$J$101,$B$2:$B$101,$B2,$A$2:$A$101,"&gt;="&amp;DATE(YEAR($A2)-1,1,1),$A$2:$A$101,"&lt;="&amp;EDATE($A2,-12)))</f>
        <v/>
      </c>
      <c r="AG2" s="37" t="str">
        <f t="shared" ref="AG2:AG33" si="20">IF(OR($AE2="",$AF2="",$AF2=0),"",$AE2/$AF2-1)</f>
        <v/>
      </c>
      <c r="AH2" s="33" t="str">
        <f t="shared" ref="AH2:AH33" si="21">IF(OR($A2="",$B2=""),"",IF(OR($P2&lt;-10%,$W2&lt;-10%,$AD2&lt;-10%),"ĐỎ - Giảm &gt;10% so cùng kỳ",IF(OR($N2&lt;-10%,$U2&lt;-10%,$AB2&lt;-10%),"VÀNG - Giảm &gt;10% so tháng trước","BÌNH THƯỜNG")))</f>
        <v/>
      </c>
      <c r="AI2" s="12" t="str">
        <f>IFERROR(VLOOKUP($B2,DM_Doanh_nghiep!$A$2:$I$1501,9,FALSE),"")</f>
        <v/>
      </c>
    </row>
    <row r="3" spans="1:35">
      <c r="A3" s="31"/>
      <c r="B3" s="32"/>
      <c r="C3" s="33" t="str">
        <f>IFERROR(VLOOKUP($B3,DM_Doanh_nghiep!$A$2:$H$1001,2,FALSE),"")</f>
        <v/>
      </c>
      <c r="D3" s="33" t="str">
        <f>IFERROR(VLOOKUP($B3,DM_Doanh_nghiep!$A$2:$H$1001,4,FALSE),"")</f>
        <v/>
      </c>
      <c r="E3" s="33" t="str">
        <f>IFERROR(VLOOKUP($B3,DM_Doanh_nghiep!$A$2:$H$1001,5,FALSE),"")</f>
        <v/>
      </c>
      <c r="F3" s="34"/>
      <c r="G3" s="34"/>
      <c r="H3" s="35"/>
      <c r="I3" s="35"/>
      <c r="J3" s="35"/>
      <c r="K3" s="34"/>
      <c r="L3" s="34"/>
      <c r="M3" s="36" t="str">
        <f t="shared" si="0"/>
        <v/>
      </c>
      <c r="N3" s="37" t="str">
        <f t="shared" si="1"/>
        <v/>
      </c>
      <c r="O3" s="36" t="str">
        <f t="shared" si="2"/>
        <v/>
      </c>
      <c r="P3" s="37" t="str">
        <f t="shared" si="3"/>
        <v/>
      </c>
      <c r="Q3" s="36" t="str">
        <f t="shared" si="4"/>
        <v/>
      </c>
      <c r="R3" s="36" t="str">
        <f t="shared" si="5"/>
        <v/>
      </c>
      <c r="S3" s="37" t="str">
        <f t="shared" si="6"/>
        <v/>
      </c>
      <c r="T3" s="36" t="str">
        <f t="shared" si="7"/>
        <v/>
      </c>
      <c r="U3" s="37" t="str">
        <f t="shared" si="8"/>
        <v/>
      </c>
      <c r="V3" s="36" t="str">
        <f t="shared" si="9"/>
        <v/>
      </c>
      <c r="W3" s="37" t="str">
        <f t="shared" si="10"/>
        <v/>
      </c>
      <c r="X3" s="36" t="str">
        <f t="shared" si="11"/>
        <v/>
      </c>
      <c r="Y3" s="36" t="str">
        <f t="shared" si="12"/>
        <v/>
      </c>
      <c r="Z3" s="37" t="str">
        <f t="shared" si="13"/>
        <v/>
      </c>
      <c r="AA3" s="36" t="str">
        <f t="shared" si="14"/>
        <v/>
      </c>
      <c r="AB3" s="37" t="str">
        <f t="shared" si="15"/>
        <v/>
      </c>
      <c r="AC3" s="36" t="str">
        <f t="shared" si="16"/>
        <v/>
      </c>
      <c r="AD3" s="37" t="str">
        <f t="shared" si="17"/>
        <v/>
      </c>
      <c r="AE3" s="36" t="str">
        <f t="shared" si="18"/>
        <v/>
      </c>
      <c r="AF3" s="36" t="str">
        <f t="shared" si="19"/>
        <v/>
      </c>
      <c r="AG3" s="37" t="str">
        <f t="shared" si="20"/>
        <v/>
      </c>
      <c r="AH3" s="33" t="str">
        <f t="shared" si="21"/>
        <v/>
      </c>
      <c r="AI3" s="12" t="str">
        <f>IFERROR(VLOOKUP($B3,DM_Doanh_nghiep!$A$2:$I$1501,9,FALSE),"")</f>
        <v/>
      </c>
    </row>
    <row r="4" spans="1:35">
      <c r="A4" s="31"/>
      <c r="B4" s="32"/>
      <c r="C4" s="33" t="str">
        <f>IFERROR(VLOOKUP($B4,DM_Doanh_nghiep!$A$2:$H$1001,2,FALSE),"")</f>
        <v/>
      </c>
      <c r="D4" s="33" t="str">
        <f>IFERROR(VLOOKUP($B4,DM_Doanh_nghiep!$A$2:$H$1001,4,FALSE),"")</f>
        <v/>
      </c>
      <c r="E4" s="33" t="str">
        <f>IFERROR(VLOOKUP($B4,DM_Doanh_nghiep!$A$2:$H$1001,5,FALSE),"")</f>
        <v/>
      </c>
      <c r="F4" s="34"/>
      <c r="G4" s="34"/>
      <c r="H4" s="35"/>
      <c r="I4" s="35"/>
      <c r="J4" s="35"/>
      <c r="K4" s="34"/>
      <c r="L4" s="34"/>
      <c r="M4" s="36" t="str">
        <f t="shared" si="0"/>
        <v/>
      </c>
      <c r="N4" s="37" t="str">
        <f t="shared" si="1"/>
        <v/>
      </c>
      <c r="O4" s="36" t="str">
        <f t="shared" si="2"/>
        <v/>
      </c>
      <c r="P4" s="37" t="str">
        <f t="shared" si="3"/>
        <v/>
      </c>
      <c r="Q4" s="36" t="str">
        <f t="shared" si="4"/>
        <v/>
      </c>
      <c r="R4" s="36" t="str">
        <f t="shared" si="5"/>
        <v/>
      </c>
      <c r="S4" s="37" t="str">
        <f t="shared" si="6"/>
        <v/>
      </c>
      <c r="T4" s="36" t="str">
        <f t="shared" si="7"/>
        <v/>
      </c>
      <c r="U4" s="37" t="str">
        <f t="shared" si="8"/>
        <v/>
      </c>
      <c r="V4" s="36" t="str">
        <f t="shared" si="9"/>
        <v/>
      </c>
      <c r="W4" s="37" t="str">
        <f t="shared" si="10"/>
        <v/>
      </c>
      <c r="X4" s="36" t="str">
        <f t="shared" si="11"/>
        <v/>
      </c>
      <c r="Y4" s="36" t="str">
        <f t="shared" si="12"/>
        <v/>
      </c>
      <c r="Z4" s="37" t="str">
        <f t="shared" si="13"/>
        <v/>
      </c>
      <c r="AA4" s="36" t="str">
        <f t="shared" si="14"/>
        <v/>
      </c>
      <c r="AB4" s="37" t="str">
        <f t="shared" si="15"/>
        <v/>
      </c>
      <c r="AC4" s="36" t="str">
        <f t="shared" si="16"/>
        <v/>
      </c>
      <c r="AD4" s="37" t="str">
        <f t="shared" si="17"/>
        <v/>
      </c>
      <c r="AE4" s="36" t="str">
        <f t="shared" si="18"/>
        <v/>
      </c>
      <c r="AF4" s="36" t="str">
        <f t="shared" si="19"/>
        <v/>
      </c>
      <c r="AG4" s="37" t="str">
        <f t="shared" si="20"/>
        <v/>
      </c>
      <c r="AH4" s="33" t="str">
        <f t="shared" si="21"/>
        <v/>
      </c>
      <c r="AI4" s="12" t="str">
        <f>IFERROR(VLOOKUP($B4,DM_Doanh_nghiep!$A$2:$I$1501,9,FALSE),"")</f>
        <v/>
      </c>
    </row>
    <row r="5" spans="1:35">
      <c r="A5" s="31"/>
      <c r="B5" s="32"/>
      <c r="C5" s="33" t="str">
        <f>IFERROR(VLOOKUP($B5,DM_Doanh_nghiep!$A$2:$H$1001,2,FALSE),"")</f>
        <v/>
      </c>
      <c r="D5" s="33" t="str">
        <f>IFERROR(VLOOKUP($B5,DM_Doanh_nghiep!$A$2:$H$1001,4,FALSE),"")</f>
        <v/>
      </c>
      <c r="E5" s="33" t="str">
        <f>IFERROR(VLOOKUP($B5,DM_Doanh_nghiep!$A$2:$H$1001,5,FALSE),"")</f>
        <v/>
      </c>
      <c r="F5" s="34"/>
      <c r="G5" s="34"/>
      <c r="H5" s="35"/>
      <c r="I5" s="35"/>
      <c r="J5" s="35"/>
      <c r="K5" s="34"/>
      <c r="L5" s="34"/>
      <c r="M5" s="36" t="str">
        <f t="shared" si="0"/>
        <v/>
      </c>
      <c r="N5" s="37" t="str">
        <f t="shared" si="1"/>
        <v/>
      </c>
      <c r="O5" s="36" t="str">
        <f t="shared" si="2"/>
        <v/>
      </c>
      <c r="P5" s="37" t="str">
        <f t="shared" si="3"/>
        <v/>
      </c>
      <c r="Q5" s="36" t="str">
        <f t="shared" si="4"/>
        <v/>
      </c>
      <c r="R5" s="36" t="str">
        <f t="shared" si="5"/>
        <v/>
      </c>
      <c r="S5" s="37" t="str">
        <f t="shared" si="6"/>
        <v/>
      </c>
      <c r="T5" s="36" t="str">
        <f t="shared" si="7"/>
        <v/>
      </c>
      <c r="U5" s="37" t="str">
        <f t="shared" si="8"/>
        <v/>
      </c>
      <c r="V5" s="36" t="str">
        <f t="shared" si="9"/>
        <v/>
      </c>
      <c r="W5" s="37" t="str">
        <f t="shared" si="10"/>
        <v/>
      </c>
      <c r="X5" s="36" t="str">
        <f t="shared" si="11"/>
        <v/>
      </c>
      <c r="Y5" s="36" t="str">
        <f t="shared" si="12"/>
        <v/>
      </c>
      <c r="Z5" s="37" t="str">
        <f t="shared" si="13"/>
        <v/>
      </c>
      <c r="AA5" s="36" t="str">
        <f t="shared" si="14"/>
        <v/>
      </c>
      <c r="AB5" s="37" t="str">
        <f t="shared" si="15"/>
        <v/>
      </c>
      <c r="AC5" s="36" t="str">
        <f t="shared" si="16"/>
        <v/>
      </c>
      <c r="AD5" s="37" t="str">
        <f t="shared" si="17"/>
        <v/>
      </c>
      <c r="AE5" s="36" t="str">
        <f t="shared" si="18"/>
        <v/>
      </c>
      <c r="AF5" s="36" t="str">
        <f t="shared" si="19"/>
        <v/>
      </c>
      <c r="AG5" s="37" t="str">
        <f t="shared" si="20"/>
        <v/>
      </c>
      <c r="AH5" s="33" t="str">
        <f t="shared" si="21"/>
        <v/>
      </c>
      <c r="AI5" s="12" t="str">
        <f>IFERROR(VLOOKUP($B5,DM_Doanh_nghiep!$A$2:$I$1501,9,FALSE),"")</f>
        <v/>
      </c>
    </row>
    <row r="6" spans="1:35">
      <c r="A6" s="31"/>
      <c r="B6" s="32"/>
      <c r="C6" s="33" t="str">
        <f>IFERROR(VLOOKUP($B6,DM_Doanh_nghiep!$A$2:$H$1001,2,FALSE),"")</f>
        <v/>
      </c>
      <c r="D6" s="33" t="str">
        <f>IFERROR(VLOOKUP($B6,DM_Doanh_nghiep!$A$2:$H$1001,4,FALSE),"")</f>
        <v/>
      </c>
      <c r="E6" s="33" t="str">
        <f>IFERROR(VLOOKUP($B6,DM_Doanh_nghiep!$A$2:$H$1001,5,FALSE),"")</f>
        <v/>
      </c>
      <c r="F6" s="34"/>
      <c r="G6" s="34"/>
      <c r="H6" s="35"/>
      <c r="I6" s="35"/>
      <c r="J6" s="35"/>
      <c r="K6" s="34"/>
      <c r="L6" s="34"/>
      <c r="M6" s="36" t="str">
        <f t="shared" si="0"/>
        <v/>
      </c>
      <c r="N6" s="37" t="str">
        <f t="shared" si="1"/>
        <v/>
      </c>
      <c r="O6" s="36" t="str">
        <f t="shared" si="2"/>
        <v/>
      </c>
      <c r="P6" s="37" t="str">
        <f t="shared" si="3"/>
        <v/>
      </c>
      <c r="Q6" s="36" t="str">
        <f t="shared" si="4"/>
        <v/>
      </c>
      <c r="R6" s="36" t="str">
        <f t="shared" si="5"/>
        <v/>
      </c>
      <c r="S6" s="37" t="str">
        <f t="shared" si="6"/>
        <v/>
      </c>
      <c r="T6" s="36" t="str">
        <f t="shared" si="7"/>
        <v/>
      </c>
      <c r="U6" s="37" t="str">
        <f t="shared" si="8"/>
        <v/>
      </c>
      <c r="V6" s="36" t="str">
        <f t="shared" si="9"/>
        <v/>
      </c>
      <c r="W6" s="37" t="str">
        <f t="shared" si="10"/>
        <v/>
      </c>
      <c r="X6" s="36" t="str">
        <f t="shared" si="11"/>
        <v/>
      </c>
      <c r="Y6" s="36" t="str">
        <f t="shared" si="12"/>
        <v/>
      </c>
      <c r="Z6" s="37" t="str">
        <f t="shared" si="13"/>
        <v/>
      </c>
      <c r="AA6" s="36" t="str">
        <f t="shared" si="14"/>
        <v/>
      </c>
      <c r="AB6" s="37" t="str">
        <f t="shared" si="15"/>
        <v/>
      </c>
      <c r="AC6" s="36" t="str">
        <f t="shared" si="16"/>
        <v/>
      </c>
      <c r="AD6" s="37" t="str">
        <f t="shared" si="17"/>
        <v/>
      </c>
      <c r="AE6" s="36" t="str">
        <f t="shared" si="18"/>
        <v/>
      </c>
      <c r="AF6" s="36" t="str">
        <f t="shared" si="19"/>
        <v/>
      </c>
      <c r="AG6" s="37" t="str">
        <f t="shared" si="20"/>
        <v/>
      </c>
      <c r="AH6" s="33" t="str">
        <f t="shared" si="21"/>
        <v/>
      </c>
      <c r="AI6" s="12" t="str">
        <f>IFERROR(VLOOKUP($B6,DM_Doanh_nghiep!$A$2:$I$1501,9,FALSE),"")</f>
        <v/>
      </c>
    </row>
    <row r="7" spans="1:35">
      <c r="A7" s="31"/>
      <c r="B7" s="32"/>
      <c r="C7" s="33" t="str">
        <f>IFERROR(VLOOKUP($B7,DM_Doanh_nghiep!$A$2:$H$1001,2,FALSE),"")</f>
        <v/>
      </c>
      <c r="D7" s="33" t="str">
        <f>IFERROR(VLOOKUP($B7,DM_Doanh_nghiep!$A$2:$H$1001,4,FALSE),"")</f>
        <v/>
      </c>
      <c r="E7" s="33" t="str">
        <f>IFERROR(VLOOKUP($B7,DM_Doanh_nghiep!$A$2:$H$1001,5,FALSE),"")</f>
        <v/>
      </c>
      <c r="F7" s="34"/>
      <c r="G7" s="34"/>
      <c r="H7" s="35"/>
      <c r="I7" s="35"/>
      <c r="J7" s="35"/>
      <c r="K7" s="34"/>
      <c r="L7" s="34"/>
      <c r="M7" s="36" t="str">
        <f t="shared" si="0"/>
        <v/>
      </c>
      <c r="N7" s="37" t="str">
        <f t="shared" si="1"/>
        <v/>
      </c>
      <c r="O7" s="36" t="str">
        <f t="shared" si="2"/>
        <v/>
      </c>
      <c r="P7" s="37" t="str">
        <f t="shared" si="3"/>
        <v/>
      </c>
      <c r="Q7" s="36" t="str">
        <f t="shared" si="4"/>
        <v/>
      </c>
      <c r="R7" s="36" t="str">
        <f t="shared" si="5"/>
        <v/>
      </c>
      <c r="S7" s="37" t="str">
        <f t="shared" si="6"/>
        <v/>
      </c>
      <c r="T7" s="36" t="str">
        <f t="shared" si="7"/>
        <v/>
      </c>
      <c r="U7" s="37" t="str">
        <f t="shared" si="8"/>
        <v/>
      </c>
      <c r="V7" s="36" t="str">
        <f t="shared" si="9"/>
        <v/>
      </c>
      <c r="W7" s="37" t="str">
        <f t="shared" si="10"/>
        <v/>
      </c>
      <c r="X7" s="36" t="str">
        <f t="shared" si="11"/>
        <v/>
      </c>
      <c r="Y7" s="36" t="str">
        <f t="shared" si="12"/>
        <v/>
      </c>
      <c r="Z7" s="37" t="str">
        <f t="shared" si="13"/>
        <v/>
      </c>
      <c r="AA7" s="36" t="str">
        <f t="shared" si="14"/>
        <v/>
      </c>
      <c r="AB7" s="37" t="str">
        <f t="shared" si="15"/>
        <v/>
      </c>
      <c r="AC7" s="36" t="str">
        <f t="shared" si="16"/>
        <v/>
      </c>
      <c r="AD7" s="37" t="str">
        <f t="shared" si="17"/>
        <v/>
      </c>
      <c r="AE7" s="36" t="str">
        <f t="shared" si="18"/>
        <v/>
      </c>
      <c r="AF7" s="36" t="str">
        <f t="shared" si="19"/>
        <v/>
      </c>
      <c r="AG7" s="37" t="str">
        <f t="shared" si="20"/>
        <v/>
      </c>
      <c r="AH7" s="33" t="str">
        <f t="shared" si="21"/>
        <v/>
      </c>
      <c r="AI7" s="12" t="str">
        <f>IFERROR(VLOOKUP($B7,DM_Doanh_nghiep!$A$2:$I$1501,9,FALSE),"")</f>
        <v/>
      </c>
    </row>
    <row r="8" spans="1:35">
      <c r="A8" s="31"/>
      <c r="B8" s="32"/>
      <c r="C8" s="33" t="str">
        <f>IFERROR(VLOOKUP($B8,DM_Doanh_nghiep!$A$2:$H$1001,2,FALSE),"")</f>
        <v/>
      </c>
      <c r="D8" s="33" t="str">
        <f>IFERROR(VLOOKUP($B8,DM_Doanh_nghiep!$A$2:$H$1001,4,FALSE),"")</f>
        <v/>
      </c>
      <c r="E8" s="33" t="str">
        <f>IFERROR(VLOOKUP($B8,DM_Doanh_nghiep!$A$2:$H$1001,5,FALSE),"")</f>
        <v/>
      </c>
      <c r="F8" s="34"/>
      <c r="G8" s="34"/>
      <c r="H8" s="35"/>
      <c r="I8" s="35"/>
      <c r="J8" s="35"/>
      <c r="K8" s="34"/>
      <c r="L8" s="34"/>
      <c r="M8" s="36" t="str">
        <f t="shared" si="0"/>
        <v/>
      </c>
      <c r="N8" s="37" t="str">
        <f t="shared" si="1"/>
        <v/>
      </c>
      <c r="O8" s="36" t="str">
        <f t="shared" si="2"/>
        <v/>
      </c>
      <c r="P8" s="37" t="str">
        <f t="shared" si="3"/>
        <v/>
      </c>
      <c r="Q8" s="36" t="str">
        <f t="shared" si="4"/>
        <v/>
      </c>
      <c r="R8" s="36" t="str">
        <f t="shared" si="5"/>
        <v/>
      </c>
      <c r="S8" s="37" t="str">
        <f t="shared" si="6"/>
        <v/>
      </c>
      <c r="T8" s="36" t="str">
        <f t="shared" si="7"/>
        <v/>
      </c>
      <c r="U8" s="37" t="str">
        <f t="shared" si="8"/>
        <v/>
      </c>
      <c r="V8" s="36" t="str">
        <f t="shared" si="9"/>
        <v/>
      </c>
      <c r="W8" s="37" t="str">
        <f t="shared" si="10"/>
        <v/>
      </c>
      <c r="X8" s="36" t="str">
        <f t="shared" si="11"/>
        <v/>
      </c>
      <c r="Y8" s="36" t="str">
        <f t="shared" si="12"/>
        <v/>
      </c>
      <c r="Z8" s="37" t="str">
        <f t="shared" si="13"/>
        <v/>
      </c>
      <c r="AA8" s="36" t="str">
        <f t="shared" si="14"/>
        <v/>
      </c>
      <c r="AB8" s="37" t="str">
        <f t="shared" si="15"/>
        <v/>
      </c>
      <c r="AC8" s="36" t="str">
        <f t="shared" si="16"/>
        <v/>
      </c>
      <c r="AD8" s="37" t="str">
        <f t="shared" si="17"/>
        <v/>
      </c>
      <c r="AE8" s="36" t="str">
        <f t="shared" si="18"/>
        <v/>
      </c>
      <c r="AF8" s="36" t="str">
        <f t="shared" si="19"/>
        <v/>
      </c>
      <c r="AG8" s="37" t="str">
        <f t="shared" si="20"/>
        <v/>
      </c>
      <c r="AH8" s="33" t="str">
        <f t="shared" si="21"/>
        <v/>
      </c>
      <c r="AI8" s="12" t="str">
        <f>IFERROR(VLOOKUP($B8,DM_Doanh_nghiep!$A$2:$I$1501,9,FALSE),"")</f>
        <v/>
      </c>
    </row>
    <row r="9" spans="1:35">
      <c r="A9" s="31"/>
      <c r="B9" s="32"/>
      <c r="C9" s="33" t="str">
        <f>IFERROR(VLOOKUP($B9,DM_Doanh_nghiep!$A$2:$H$1001,2,FALSE),"")</f>
        <v/>
      </c>
      <c r="D9" s="33" t="str">
        <f>IFERROR(VLOOKUP($B9,DM_Doanh_nghiep!$A$2:$H$1001,4,FALSE),"")</f>
        <v/>
      </c>
      <c r="E9" s="33" t="str">
        <f>IFERROR(VLOOKUP($B9,DM_Doanh_nghiep!$A$2:$H$1001,5,FALSE),"")</f>
        <v/>
      </c>
      <c r="F9" s="34"/>
      <c r="G9" s="34"/>
      <c r="H9" s="35"/>
      <c r="I9" s="35"/>
      <c r="J9" s="35"/>
      <c r="K9" s="34"/>
      <c r="L9" s="34"/>
      <c r="M9" s="36" t="str">
        <f t="shared" si="0"/>
        <v/>
      </c>
      <c r="N9" s="37" t="str">
        <f t="shared" si="1"/>
        <v/>
      </c>
      <c r="O9" s="36" t="str">
        <f t="shared" si="2"/>
        <v/>
      </c>
      <c r="P9" s="37" t="str">
        <f t="shared" si="3"/>
        <v/>
      </c>
      <c r="Q9" s="36" t="str">
        <f t="shared" si="4"/>
        <v/>
      </c>
      <c r="R9" s="36" t="str">
        <f t="shared" si="5"/>
        <v/>
      </c>
      <c r="S9" s="37" t="str">
        <f t="shared" si="6"/>
        <v/>
      </c>
      <c r="T9" s="36" t="str">
        <f t="shared" si="7"/>
        <v/>
      </c>
      <c r="U9" s="37" t="str">
        <f t="shared" si="8"/>
        <v/>
      </c>
      <c r="V9" s="36" t="str">
        <f t="shared" si="9"/>
        <v/>
      </c>
      <c r="W9" s="37" t="str">
        <f t="shared" si="10"/>
        <v/>
      </c>
      <c r="X9" s="36" t="str">
        <f t="shared" si="11"/>
        <v/>
      </c>
      <c r="Y9" s="36" t="str">
        <f t="shared" si="12"/>
        <v/>
      </c>
      <c r="Z9" s="37" t="str">
        <f t="shared" si="13"/>
        <v/>
      </c>
      <c r="AA9" s="36" t="str">
        <f t="shared" si="14"/>
        <v/>
      </c>
      <c r="AB9" s="37" t="str">
        <f t="shared" si="15"/>
        <v/>
      </c>
      <c r="AC9" s="36" t="str">
        <f t="shared" si="16"/>
        <v/>
      </c>
      <c r="AD9" s="37" t="str">
        <f t="shared" si="17"/>
        <v/>
      </c>
      <c r="AE9" s="36" t="str">
        <f t="shared" si="18"/>
        <v/>
      </c>
      <c r="AF9" s="36" t="str">
        <f t="shared" si="19"/>
        <v/>
      </c>
      <c r="AG9" s="37" t="str">
        <f t="shared" si="20"/>
        <v/>
      </c>
      <c r="AH9" s="33" t="str">
        <f t="shared" si="21"/>
        <v/>
      </c>
      <c r="AI9" s="12" t="str">
        <f>IFERROR(VLOOKUP($B9,DM_Doanh_nghiep!$A$2:$I$1501,9,FALSE),"")</f>
        <v/>
      </c>
    </row>
    <row r="10" spans="1:35">
      <c r="A10" s="31"/>
      <c r="B10" s="32"/>
      <c r="C10" s="33" t="str">
        <f>IFERROR(VLOOKUP($B10,DM_Doanh_nghiep!$A$2:$H$1001,2,FALSE),"")</f>
        <v/>
      </c>
      <c r="D10" s="33" t="str">
        <f>IFERROR(VLOOKUP($B10,DM_Doanh_nghiep!$A$2:$H$1001,4,FALSE),"")</f>
        <v/>
      </c>
      <c r="E10" s="33" t="str">
        <f>IFERROR(VLOOKUP($B10,DM_Doanh_nghiep!$A$2:$H$1001,5,FALSE),"")</f>
        <v/>
      </c>
      <c r="F10" s="34"/>
      <c r="G10" s="34"/>
      <c r="H10" s="35"/>
      <c r="I10" s="35"/>
      <c r="J10" s="35"/>
      <c r="K10" s="34"/>
      <c r="L10" s="34"/>
      <c r="M10" s="36" t="str">
        <f t="shared" si="0"/>
        <v/>
      </c>
      <c r="N10" s="37" t="str">
        <f t="shared" si="1"/>
        <v/>
      </c>
      <c r="O10" s="36" t="str">
        <f t="shared" si="2"/>
        <v/>
      </c>
      <c r="P10" s="37" t="str">
        <f t="shared" si="3"/>
        <v/>
      </c>
      <c r="Q10" s="36" t="str">
        <f t="shared" si="4"/>
        <v/>
      </c>
      <c r="R10" s="36" t="str">
        <f t="shared" si="5"/>
        <v/>
      </c>
      <c r="S10" s="37" t="str">
        <f t="shared" si="6"/>
        <v/>
      </c>
      <c r="T10" s="36" t="str">
        <f t="shared" si="7"/>
        <v/>
      </c>
      <c r="U10" s="37" t="str">
        <f t="shared" si="8"/>
        <v/>
      </c>
      <c r="V10" s="36" t="str">
        <f t="shared" si="9"/>
        <v/>
      </c>
      <c r="W10" s="37" t="str">
        <f t="shared" si="10"/>
        <v/>
      </c>
      <c r="X10" s="36" t="str">
        <f t="shared" si="11"/>
        <v/>
      </c>
      <c r="Y10" s="36" t="str">
        <f t="shared" si="12"/>
        <v/>
      </c>
      <c r="Z10" s="37" t="str">
        <f t="shared" si="13"/>
        <v/>
      </c>
      <c r="AA10" s="36" t="str">
        <f t="shared" si="14"/>
        <v/>
      </c>
      <c r="AB10" s="37" t="str">
        <f t="shared" si="15"/>
        <v/>
      </c>
      <c r="AC10" s="36" t="str">
        <f t="shared" si="16"/>
        <v/>
      </c>
      <c r="AD10" s="37" t="str">
        <f t="shared" si="17"/>
        <v/>
      </c>
      <c r="AE10" s="36" t="str">
        <f t="shared" si="18"/>
        <v/>
      </c>
      <c r="AF10" s="36" t="str">
        <f t="shared" si="19"/>
        <v/>
      </c>
      <c r="AG10" s="37" t="str">
        <f t="shared" si="20"/>
        <v/>
      </c>
      <c r="AH10" s="33" t="str">
        <f t="shared" si="21"/>
        <v/>
      </c>
      <c r="AI10" s="12" t="str">
        <f>IFERROR(VLOOKUP($B10,DM_Doanh_nghiep!$A$2:$I$1501,9,FALSE),"")</f>
        <v/>
      </c>
    </row>
    <row r="11" spans="1:35">
      <c r="A11" s="31"/>
      <c r="B11" s="32"/>
      <c r="C11" s="33" t="str">
        <f>IFERROR(VLOOKUP($B11,DM_Doanh_nghiep!$A$2:$H$1001,2,FALSE),"")</f>
        <v/>
      </c>
      <c r="D11" s="33" t="str">
        <f>IFERROR(VLOOKUP($B11,DM_Doanh_nghiep!$A$2:$H$1001,4,FALSE),"")</f>
        <v/>
      </c>
      <c r="E11" s="33" t="str">
        <f>IFERROR(VLOOKUP($B11,DM_Doanh_nghiep!$A$2:$H$1001,5,FALSE),"")</f>
        <v/>
      </c>
      <c r="F11" s="34"/>
      <c r="G11" s="34"/>
      <c r="H11" s="35"/>
      <c r="I11" s="35"/>
      <c r="J11" s="35"/>
      <c r="K11" s="34"/>
      <c r="L11" s="34"/>
      <c r="M11" s="36" t="str">
        <f t="shared" si="0"/>
        <v/>
      </c>
      <c r="N11" s="37" t="str">
        <f t="shared" si="1"/>
        <v/>
      </c>
      <c r="O11" s="36" t="str">
        <f t="shared" si="2"/>
        <v/>
      </c>
      <c r="P11" s="37" t="str">
        <f t="shared" si="3"/>
        <v/>
      </c>
      <c r="Q11" s="36" t="str">
        <f t="shared" si="4"/>
        <v/>
      </c>
      <c r="R11" s="36" t="str">
        <f t="shared" si="5"/>
        <v/>
      </c>
      <c r="S11" s="37" t="str">
        <f t="shared" si="6"/>
        <v/>
      </c>
      <c r="T11" s="36" t="str">
        <f t="shared" si="7"/>
        <v/>
      </c>
      <c r="U11" s="37" t="str">
        <f t="shared" si="8"/>
        <v/>
      </c>
      <c r="V11" s="36" t="str">
        <f t="shared" si="9"/>
        <v/>
      </c>
      <c r="W11" s="37" t="str">
        <f t="shared" si="10"/>
        <v/>
      </c>
      <c r="X11" s="36" t="str">
        <f t="shared" si="11"/>
        <v/>
      </c>
      <c r="Y11" s="36" t="str">
        <f t="shared" si="12"/>
        <v/>
      </c>
      <c r="Z11" s="37" t="str">
        <f t="shared" si="13"/>
        <v/>
      </c>
      <c r="AA11" s="36" t="str">
        <f t="shared" si="14"/>
        <v/>
      </c>
      <c r="AB11" s="37" t="str">
        <f t="shared" si="15"/>
        <v/>
      </c>
      <c r="AC11" s="36" t="str">
        <f t="shared" si="16"/>
        <v/>
      </c>
      <c r="AD11" s="37" t="str">
        <f t="shared" si="17"/>
        <v/>
      </c>
      <c r="AE11" s="36" t="str">
        <f t="shared" si="18"/>
        <v/>
      </c>
      <c r="AF11" s="36" t="str">
        <f t="shared" si="19"/>
        <v/>
      </c>
      <c r="AG11" s="37" t="str">
        <f t="shared" si="20"/>
        <v/>
      </c>
      <c r="AH11" s="33" t="str">
        <f t="shared" si="21"/>
        <v/>
      </c>
      <c r="AI11" s="12" t="str">
        <f>IFERROR(VLOOKUP($B11,DM_Doanh_nghiep!$A$2:$I$1501,9,FALSE),"")</f>
        <v/>
      </c>
    </row>
    <row r="12" spans="1:35">
      <c r="A12" s="31"/>
      <c r="B12" s="32"/>
      <c r="C12" s="33" t="str">
        <f>IFERROR(VLOOKUP($B12,DM_Doanh_nghiep!$A$2:$H$1001,2,FALSE),"")</f>
        <v/>
      </c>
      <c r="D12" s="33" t="str">
        <f>IFERROR(VLOOKUP($B12,DM_Doanh_nghiep!$A$2:$H$1001,4,FALSE),"")</f>
        <v/>
      </c>
      <c r="E12" s="33" t="str">
        <f>IFERROR(VLOOKUP($B12,DM_Doanh_nghiep!$A$2:$H$1001,5,FALSE),"")</f>
        <v/>
      </c>
      <c r="F12" s="34"/>
      <c r="G12" s="34"/>
      <c r="H12" s="35"/>
      <c r="I12" s="35"/>
      <c r="J12" s="35"/>
      <c r="K12" s="34"/>
      <c r="L12" s="34"/>
      <c r="M12" s="36" t="str">
        <f t="shared" si="0"/>
        <v/>
      </c>
      <c r="N12" s="37" t="str">
        <f t="shared" si="1"/>
        <v/>
      </c>
      <c r="O12" s="36" t="str">
        <f t="shared" si="2"/>
        <v/>
      </c>
      <c r="P12" s="37" t="str">
        <f t="shared" si="3"/>
        <v/>
      </c>
      <c r="Q12" s="36" t="str">
        <f t="shared" si="4"/>
        <v/>
      </c>
      <c r="R12" s="36" t="str">
        <f t="shared" si="5"/>
        <v/>
      </c>
      <c r="S12" s="37" t="str">
        <f t="shared" si="6"/>
        <v/>
      </c>
      <c r="T12" s="36" t="str">
        <f t="shared" si="7"/>
        <v/>
      </c>
      <c r="U12" s="37" t="str">
        <f t="shared" si="8"/>
        <v/>
      </c>
      <c r="V12" s="36" t="str">
        <f t="shared" si="9"/>
        <v/>
      </c>
      <c r="W12" s="37" t="str">
        <f t="shared" si="10"/>
        <v/>
      </c>
      <c r="X12" s="36" t="str">
        <f t="shared" si="11"/>
        <v/>
      </c>
      <c r="Y12" s="36" t="str">
        <f t="shared" si="12"/>
        <v/>
      </c>
      <c r="Z12" s="37" t="str">
        <f t="shared" si="13"/>
        <v/>
      </c>
      <c r="AA12" s="36" t="str">
        <f t="shared" si="14"/>
        <v/>
      </c>
      <c r="AB12" s="37" t="str">
        <f t="shared" si="15"/>
        <v/>
      </c>
      <c r="AC12" s="36" t="str">
        <f t="shared" si="16"/>
        <v/>
      </c>
      <c r="AD12" s="37" t="str">
        <f t="shared" si="17"/>
        <v/>
      </c>
      <c r="AE12" s="36" t="str">
        <f t="shared" si="18"/>
        <v/>
      </c>
      <c r="AF12" s="36" t="str">
        <f t="shared" si="19"/>
        <v/>
      </c>
      <c r="AG12" s="37" t="str">
        <f t="shared" si="20"/>
        <v/>
      </c>
      <c r="AH12" s="33" t="str">
        <f t="shared" si="21"/>
        <v/>
      </c>
      <c r="AI12" s="12" t="str">
        <f>IFERROR(VLOOKUP($B12,DM_Doanh_nghiep!$A$2:$I$1501,9,FALSE),"")</f>
        <v/>
      </c>
    </row>
    <row r="13" spans="1:35">
      <c r="A13" s="31"/>
      <c r="B13" s="32"/>
      <c r="C13" s="33" t="str">
        <f>IFERROR(VLOOKUP($B13,DM_Doanh_nghiep!$A$2:$H$1001,2,FALSE),"")</f>
        <v/>
      </c>
      <c r="D13" s="33" t="str">
        <f>IFERROR(VLOOKUP($B13,DM_Doanh_nghiep!$A$2:$H$1001,4,FALSE),"")</f>
        <v/>
      </c>
      <c r="E13" s="33" t="str">
        <f>IFERROR(VLOOKUP($B13,DM_Doanh_nghiep!$A$2:$H$1001,5,FALSE),"")</f>
        <v/>
      </c>
      <c r="F13" s="34"/>
      <c r="G13" s="34"/>
      <c r="H13" s="35"/>
      <c r="I13" s="35"/>
      <c r="J13" s="35"/>
      <c r="K13" s="34"/>
      <c r="L13" s="34"/>
      <c r="M13" s="36" t="str">
        <f t="shared" si="0"/>
        <v/>
      </c>
      <c r="N13" s="37" t="str">
        <f t="shared" si="1"/>
        <v/>
      </c>
      <c r="O13" s="36" t="str">
        <f t="shared" si="2"/>
        <v/>
      </c>
      <c r="P13" s="37" t="str">
        <f t="shared" si="3"/>
        <v/>
      </c>
      <c r="Q13" s="36" t="str">
        <f t="shared" si="4"/>
        <v/>
      </c>
      <c r="R13" s="36" t="str">
        <f t="shared" si="5"/>
        <v/>
      </c>
      <c r="S13" s="37" t="str">
        <f t="shared" si="6"/>
        <v/>
      </c>
      <c r="T13" s="36" t="str">
        <f t="shared" si="7"/>
        <v/>
      </c>
      <c r="U13" s="37" t="str">
        <f t="shared" si="8"/>
        <v/>
      </c>
      <c r="V13" s="36" t="str">
        <f t="shared" si="9"/>
        <v/>
      </c>
      <c r="W13" s="37" t="str">
        <f t="shared" si="10"/>
        <v/>
      </c>
      <c r="X13" s="36" t="str">
        <f t="shared" si="11"/>
        <v/>
      </c>
      <c r="Y13" s="36" t="str">
        <f t="shared" si="12"/>
        <v/>
      </c>
      <c r="Z13" s="37" t="str">
        <f t="shared" si="13"/>
        <v/>
      </c>
      <c r="AA13" s="36" t="str">
        <f t="shared" si="14"/>
        <v/>
      </c>
      <c r="AB13" s="37" t="str">
        <f t="shared" si="15"/>
        <v/>
      </c>
      <c r="AC13" s="36" t="str">
        <f t="shared" si="16"/>
        <v/>
      </c>
      <c r="AD13" s="37" t="str">
        <f t="shared" si="17"/>
        <v/>
      </c>
      <c r="AE13" s="36" t="str">
        <f t="shared" si="18"/>
        <v/>
      </c>
      <c r="AF13" s="36" t="str">
        <f t="shared" si="19"/>
        <v/>
      </c>
      <c r="AG13" s="37" t="str">
        <f t="shared" si="20"/>
        <v/>
      </c>
      <c r="AH13" s="33" t="str">
        <f t="shared" si="21"/>
        <v/>
      </c>
      <c r="AI13" s="12" t="str">
        <f>IFERROR(VLOOKUP($B13,DM_Doanh_nghiep!$A$2:$I$1501,9,FALSE),"")</f>
        <v/>
      </c>
    </row>
    <row r="14" spans="1:35">
      <c r="A14" s="31"/>
      <c r="B14" s="32"/>
      <c r="C14" s="33" t="str">
        <f>IFERROR(VLOOKUP($B14,DM_Doanh_nghiep!$A$2:$H$1001,2,FALSE),"")</f>
        <v/>
      </c>
      <c r="D14" s="33" t="str">
        <f>IFERROR(VLOOKUP($B14,DM_Doanh_nghiep!$A$2:$H$1001,4,FALSE),"")</f>
        <v/>
      </c>
      <c r="E14" s="33" t="str">
        <f>IFERROR(VLOOKUP($B14,DM_Doanh_nghiep!$A$2:$H$1001,5,FALSE),"")</f>
        <v/>
      </c>
      <c r="F14" s="34"/>
      <c r="G14" s="34"/>
      <c r="H14" s="35"/>
      <c r="I14" s="35"/>
      <c r="J14" s="35"/>
      <c r="K14" s="34"/>
      <c r="L14" s="34"/>
      <c r="M14" s="36" t="str">
        <f t="shared" si="0"/>
        <v/>
      </c>
      <c r="N14" s="37" t="str">
        <f t="shared" si="1"/>
        <v/>
      </c>
      <c r="O14" s="36" t="str">
        <f t="shared" si="2"/>
        <v/>
      </c>
      <c r="P14" s="37" t="str">
        <f t="shared" si="3"/>
        <v/>
      </c>
      <c r="Q14" s="36" t="str">
        <f t="shared" si="4"/>
        <v/>
      </c>
      <c r="R14" s="36" t="str">
        <f t="shared" si="5"/>
        <v/>
      </c>
      <c r="S14" s="37" t="str">
        <f t="shared" si="6"/>
        <v/>
      </c>
      <c r="T14" s="36" t="str">
        <f t="shared" si="7"/>
        <v/>
      </c>
      <c r="U14" s="37" t="str">
        <f t="shared" si="8"/>
        <v/>
      </c>
      <c r="V14" s="36" t="str">
        <f t="shared" si="9"/>
        <v/>
      </c>
      <c r="W14" s="37" t="str">
        <f t="shared" si="10"/>
        <v/>
      </c>
      <c r="X14" s="36" t="str">
        <f t="shared" si="11"/>
        <v/>
      </c>
      <c r="Y14" s="36" t="str">
        <f t="shared" si="12"/>
        <v/>
      </c>
      <c r="Z14" s="37" t="str">
        <f t="shared" si="13"/>
        <v/>
      </c>
      <c r="AA14" s="36" t="str">
        <f t="shared" si="14"/>
        <v/>
      </c>
      <c r="AB14" s="37" t="str">
        <f t="shared" si="15"/>
        <v/>
      </c>
      <c r="AC14" s="36" t="str">
        <f t="shared" si="16"/>
        <v/>
      </c>
      <c r="AD14" s="37" t="str">
        <f t="shared" si="17"/>
        <v/>
      </c>
      <c r="AE14" s="36" t="str">
        <f t="shared" si="18"/>
        <v/>
      </c>
      <c r="AF14" s="36" t="str">
        <f t="shared" si="19"/>
        <v/>
      </c>
      <c r="AG14" s="37" t="str">
        <f t="shared" si="20"/>
        <v/>
      </c>
      <c r="AH14" s="33" t="str">
        <f t="shared" si="21"/>
        <v/>
      </c>
      <c r="AI14" s="12" t="str">
        <f>IFERROR(VLOOKUP($B14,DM_Doanh_nghiep!$A$2:$I$1501,9,FALSE),"")</f>
        <v/>
      </c>
    </row>
    <row r="15" spans="1:35">
      <c r="A15" s="31"/>
      <c r="B15" s="32"/>
      <c r="C15" s="33" t="str">
        <f>IFERROR(VLOOKUP($B15,DM_Doanh_nghiep!$A$2:$H$1001,2,FALSE),"")</f>
        <v/>
      </c>
      <c r="D15" s="33" t="str">
        <f>IFERROR(VLOOKUP($B15,DM_Doanh_nghiep!$A$2:$H$1001,4,FALSE),"")</f>
        <v/>
      </c>
      <c r="E15" s="33" t="str">
        <f>IFERROR(VLOOKUP($B15,DM_Doanh_nghiep!$A$2:$H$1001,5,FALSE),"")</f>
        <v/>
      </c>
      <c r="F15" s="34"/>
      <c r="G15" s="34"/>
      <c r="H15" s="35"/>
      <c r="I15" s="35"/>
      <c r="J15" s="35"/>
      <c r="K15" s="34"/>
      <c r="L15" s="34"/>
      <c r="M15" s="36" t="str">
        <f t="shared" si="0"/>
        <v/>
      </c>
      <c r="N15" s="37" t="str">
        <f t="shared" si="1"/>
        <v/>
      </c>
      <c r="O15" s="36" t="str">
        <f t="shared" si="2"/>
        <v/>
      </c>
      <c r="P15" s="37" t="str">
        <f t="shared" si="3"/>
        <v/>
      </c>
      <c r="Q15" s="36" t="str">
        <f t="shared" si="4"/>
        <v/>
      </c>
      <c r="R15" s="36" t="str">
        <f t="shared" si="5"/>
        <v/>
      </c>
      <c r="S15" s="37" t="str">
        <f t="shared" si="6"/>
        <v/>
      </c>
      <c r="T15" s="36" t="str">
        <f t="shared" si="7"/>
        <v/>
      </c>
      <c r="U15" s="37" t="str">
        <f t="shared" si="8"/>
        <v/>
      </c>
      <c r="V15" s="36" t="str">
        <f t="shared" si="9"/>
        <v/>
      </c>
      <c r="W15" s="37" t="str">
        <f t="shared" si="10"/>
        <v/>
      </c>
      <c r="X15" s="36" t="str">
        <f t="shared" si="11"/>
        <v/>
      </c>
      <c r="Y15" s="36" t="str">
        <f t="shared" si="12"/>
        <v/>
      </c>
      <c r="Z15" s="37" t="str">
        <f t="shared" si="13"/>
        <v/>
      </c>
      <c r="AA15" s="36" t="str">
        <f t="shared" si="14"/>
        <v/>
      </c>
      <c r="AB15" s="37" t="str">
        <f t="shared" si="15"/>
        <v/>
      </c>
      <c r="AC15" s="36" t="str">
        <f t="shared" si="16"/>
        <v/>
      </c>
      <c r="AD15" s="37" t="str">
        <f t="shared" si="17"/>
        <v/>
      </c>
      <c r="AE15" s="36" t="str">
        <f t="shared" si="18"/>
        <v/>
      </c>
      <c r="AF15" s="36" t="str">
        <f t="shared" si="19"/>
        <v/>
      </c>
      <c r="AG15" s="37" t="str">
        <f t="shared" si="20"/>
        <v/>
      </c>
      <c r="AH15" s="33" t="str">
        <f t="shared" si="21"/>
        <v/>
      </c>
      <c r="AI15" s="12" t="str">
        <f>IFERROR(VLOOKUP($B15,DM_Doanh_nghiep!$A$2:$I$1501,9,FALSE),"")</f>
        <v/>
      </c>
    </row>
    <row r="16" spans="1:35">
      <c r="A16" s="31"/>
      <c r="B16" s="32"/>
      <c r="C16" s="33" t="str">
        <f>IFERROR(VLOOKUP($B16,DM_Doanh_nghiep!$A$2:$H$1001,2,FALSE),"")</f>
        <v/>
      </c>
      <c r="D16" s="33" t="str">
        <f>IFERROR(VLOOKUP($B16,DM_Doanh_nghiep!$A$2:$H$1001,4,FALSE),"")</f>
        <v/>
      </c>
      <c r="E16" s="33" t="str">
        <f>IFERROR(VLOOKUP($B16,DM_Doanh_nghiep!$A$2:$H$1001,5,FALSE),"")</f>
        <v/>
      </c>
      <c r="F16" s="34"/>
      <c r="G16" s="34"/>
      <c r="H16" s="35"/>
      <c r="I16" s="35"/>
      <c r="J16" s="35"/>
      <c r="K16" s="34"/>
      <c r="L16" s="34"/>
      <c r="M16" s="36" t="str">
        <f t="shared" si="0"/>
        <v/>
      </c>
      <c r="N16" s="37" t="str">
        <f t="shared" si="1"/>
        <v/>
      </c>
      <c r="O16" s="36" t="str">
        <f t="shared" si="2"/>
        <v/>
      </c>
      <c r="P16" s="37" t="str">
        <f t="shared" si="3"/>
        <v/>
      </c>
      <c r="Q16" s="36" t="str">
        <f t="shared" si="4"/>
        <v/>
      </c>
      <c r="R16" s="36" t="str">
        <f t="shared" si="5"/>
        <v/>
      </c>
      <c r="S16" s="37" t="str">
        <f t="shared" si="6"/>
        <v/>
      </c>
      <c r="T16" s="36" t="str">
        <f t="shared" si="7"/>
        <v/>
      </c>
      <c r="U16" s="37" t="str">
        <f t="shared" si="8"/>
        <v/>
      </c>
      <c r="V16" s="36" t="str">
        <f t="shared" si="9"/>
        <v/>
      </c>
      <c r="W16" s="37" t="str">
        <f t="shared" si="10"/>
        <v/>
      </c>
      <c r="X16" s="36" t="str">
        <f t="shared" si="11"/>
        <v/>
      </c>
      <c r="Y16" s="36" t="str">
        <f t="shared" si="12"/>
        <v/>
      </c>
      <c r="Z16" s="37" t="str">
        <f t="shared" si="13"/>
        <v/>
      </c>
      <c r="AA16" s="36" t="str">
        <f t="shared" si="14"/>
        <v/>
      </c>
      <c r="AB16" s="37" t="str">
        <f t="shared" si="15"/>
        <v/>
      </c>
      <c r="AC16" s="36" t="str">
        <f t="shared" si="16"/>
        <v/>
      </c>
      <c r="AD16" s="37" t="str">
        <f t="shared" si="17"/>
        <v/>
      </c>
      <c r="AE16" s="36" t="str">
        <f t="shared" si="18"/>
        <v/>
      </c>
      <c r="AF16" s="36" t="str">
        <f t="shared" si="19"/>
        <v/>
      </c>
      <c r="AG16" s="37" t="str">
        <f t="shared" si="20"/>
        <v/>
      </c>
      <c r="AH16" s="33" t="str">
        <f t="shared" si="21"/>
        <v/>
      </c>
      <c r="AI16" s="12" t="str">
        <f>IFERROR(VLOOKUP($B16,DM_Doanh_nghiep!$A$2:$I$1501,9,FALSE),"")</f>
        <v/>
      </c>
    </row>
    <row r="17" spans="1:35">
      <c r="A17" s="31"/>
      <c r="B17" s="32"/>
      <c r="C17" s="33" t="str">
        <f>IFERROR(VLOOKUP($B17,DM_Doanh_nghiep!$A$2:$H$1001,2,FALSE),"")</f>
        <v/>
      </c>
      <c r="D17" s="33" t="str">
        <f>IFERROR(VLOOKUP($B17,DM_Doanh_nghiep!$A$2:$H$1001,4,FALSE),"")</f>
        <v/>
      </c>
      <c r="E17" s="33" t="str">
        <f>IFERROR(VLOOKUP($B17,DM_Doanh_nghiep!$A$2:$H$1001,5,FALSE),"")</f>
        <v/>
      </c>
      <c r="F17" s="34"/>
      <c r="G17" s="34"/>
      <c r="H17" s="35"/>
      <c r="I17" s="35"/>
      <c r="J17" s="35"/>
      <c r="K17" s="34"/>
      <c r="L17" s="34"/>
      <c r="M17" s="36" t="str">
        <f t="shared" si="0"/>
        <v/>
      </c>
      <c r="N17" s="37" t="str">
        <f t="shared" si="1"/>
        <v/>
      </c>
      <c r="O17" s="36" t="str">
        <f t="shared" si="2"/>
        <v/>
      </c>
      <c r="P17" s="37" t="str">
        <f t="shared" si="3"/>
        <v/>
      </c>
      <c r="Q17" s="36" t="str">
        <f t="shared" si="4"/>
        <v/>
      </c>
      <c r="R17" s="36" t="str">
        <f t="shared" si="5"/>
        <v/>
      </c>
      <c r="S17" s="37" t="str">
        <f t="shared" si="6"/>
        <v/>
      </c>
      <c r="T17" s="36" t="str">
        <f t="shared" si="7"/>
        <v/>
      </c>
      <c r="U17" s="37" t="str">
        <f t="shared" si="8"/>
        <v/>
      </c>
      <c r="V17" s="36" t="str">
        <f t="shared" si="9"/>
        <v/>
      </c>
      <c r="W17" s="37" t="str">
        <f t="shared" si="10"/>
        <v/>
      </c>
      <c r="X17" s="36" t="str">
        <f t="shared" si="11"/>
        <v/>
      </c>
      <c r="Y17" s="36" t="str">
        <f t="shared" si="12"/>
        <v/>
      </c>
      <c r="Z17" s="37" t="str">
        <f t="shared" si="13"/>
        <v/>
      </c>
      <c r="AA17" s="36" t="str">
        <f t="shared" si="14"/>
        <v/>
      </c>
      <c r="AB17" s="37" t="str">
        <f t="shared" si="15"/>
        <v/>
      </c>
      <c r="AC17" s="36" t="str">
        <f t="shared" si="16"/>
        <v/>
      </c>
      <c r="AD17" s="37" t="str">
        <f t="shared" si="17"/>
        <v/>
      </c>
      <c r="AE17" s="36" t="str">
        <f t="shared" si="18"/>
        <v/>
      </c>
      <c r="AF17" s="36" t="str">
        <f t="shared" si="19"/>
        <v/>
      </c>
      <c r="AG17" s="37" t="str">
        <f t="shared" si="20"/>
        <v/>
      </c>
      <c r="AH17" s="33" t="str">
        <f t="shared" si="21"/>
        <v/>
      </c>
      <c r="AI17" s="12" t="str">
        <f>IFERROR(VLOOKUP($B17,DM_Doanh_nghiep!$A$2:$I$1501,9,FALSE),"")</f>
        <v/>
      </c>
    </row>
    <row r="18" spans="1:35">
      <c r="A18" s="31"/>
      <c r="B18" s="32"/>
      <c r="C18" s="33" t="str">
        <f>IFERROR(VLOOKUP($B18,DM_Doanh_nghiep!$A$2:$H$1001,2,FALSE),"")</f>
        <v/>
      </c>
      <c r="D18" s="33" t="str">
        <f>IFERROR(VLOOKUP($B18,DM_Doanh_nghiep!$A$2:$H$1001,4,FALSE),"")</f>
        <v/>
      </c>
      <c r="E18" s="33" t="str">
        <f>IFERROR(VLOOKUP($B18,DM_Doanh_nghiep!$A$2:$H$1001,5,FALSE),"")</f>
        <v/>
      </c>
      <c r="F18" s="34"/>
      <c r="G18" s="34"/>
      <c r="H18" s="35"/>
      <c r="I18" s="35"/>
      <c r="J18" s="35"/>
      <c r="K18" s="34"/>
      <c r="L18" s="34"/>
      <c r="M18" s="36" t="str">
        <f t="shared" si="0"/>
        <v/>
      </c>
      <c r="N18" s="37" t="str">
        <f t="shared" si="1"/>
        <v/>
      </c>
      <c r="O18" s="36" t="str">
        <f t="shared" si="2"/>
        <v/>
      </c>
      <c r="P18" s="37" t="str">
        <f t="shared" si="3"/>
        <v/>
      </c>
      <c r="Q18" s="36" t="str">
        <f t="shared" si="4"/>
        <v/>
      </c>
      <c r="R18" s="36" t="str">
        <f t="shared" si="5"/>
        <v/>
      </c>
      <c r="S18" s="37" t="str">
        <f t="shared" si="6"/>
        <v/>
      </c>
      <c r="T18" s="36" t="str">
        <f t="shared" si="7"/>
        <v/>
      </c>
      <c r="U18" s="37" t="str">
        <f t="shared" si="8"/>
        <v/>
      </c>
      <c r="V18" s="36" t="str">
        <f t="shared" si="9"/>
        <v/>
      </c>
      <c r="W18" s="37" t="str">
        <f t="shared" si="10"/>
        <v/>
      </c>
      <c r="X18" s="36" t="str">
        <f t="shared" si="11"/>
        <v/>
      </c>
      <c r="Y18" s="36" t="str">
        <f t="shared" si="12"/>
        <v/>
      </c>
      <c r="Z18" s="37" t="str">
        <f t="shared" si="13"/>
        <v/>
      </c>
      <c r="AA18" s="36" t="str">
        <f t="shared" si="14"/>
        <v/>
      </c>
      <c r="AB18" s="37" t="str">
        <f t="shared" si="15"/>
        <v/>
      </c>
      <c r="AC18" s="36" t="str">
        <f t="shared" si="16"/>
        <v/>
      </c>
      <c r="AD18" s="37" t="str">
        <f t="shared" si="17"/>
        <v/>
      </c>
      <c r="AE18" s="36" t="str">
        <f t="shared" si="18"/>
        <v/>
      </c>
      <c r="AF18" s="36" t="str">
        <f t="shared" si="19"/>
        <v/>
      </c>
      <c r="AG18" s="37" t="str">
        <f t="shared" si="20"/>
        <v/>
      </c>
      <c r="AH18" s="33" t="str">
        <f t="shared" si="21"/>
        <v/>
      </c>
      <c r="AI18" s="12" t="str">
        <f>IFERROR(VLOOKUP($B18,DM_Doanh_nghiep!$A$2:$I$1501,9,FALSE),"")</f>
        <v/>
      </c>
    </row>
    <row r="19" spans="1:35">
      <c r="A19" s="31"/>
      <c r="B19" s="32"/>
      <c r="C19" s="33" t="str">
        <f>IFERROR(VLOOKUP($B19,DM_Doanh_nghiep!$A$2:$H$1001,2,FALSE),"")</f>
        <v/>
      </c>
      <c r="D19" s="33" t="str">
        <f>IFERROR(VLOOKUP($B19,DM_Doanh_nghiep!$A$2:$H$1001,4,FALSE),"")</f>
        <v/>
      </c>
      <c r="E19" s="33" t="str">
        <f>IFERROR(VLOOKUP($B19,DM_Doanh_nghiep!$A$2:$H$1001,5,FALSE),"")</f>
        <v/>
      </c>
      <c r="F19" s="34"/>
      <c r="G19" s="34"/>
      <c r="H19" s="35"/>
      <c r="I19" s="35"/>
      <c r="J19" s="35"/>
      <c r="K19" s="34"/>
      <c r="L19" s="34"/>
      <c r="M19" s="36" t="str">
        <f t="shared" si="0"/>
        <v/>
      </c>
      <c r="N19" s="37" t="str">
        <f t="shared" si="1"/>
        <v/>
      </c>
      <c r="O19" s="36" t="str">
        <f t="shared" si="2"/>
        <v/>
      </c>
      <c r="P19" s="37" t="str">
        <f t="shared" si="3"/>
        <v/>
      </c>
      <c r="Q19" s="36" t="str">
        <f t="shared" si="4"/>
        <v/>
      </c>
      <c r="R19" s="36" t="str">
        <f t="shared" si="5"/>
        <v/>
      </c>
      <c r="S19" s="37" t="str">
        <f t="shared" si="6"/>
        <v/>
      </c>
      <c r="T19" s="36" t="str">
        <f t="shared" si="7"/>
        <v/>
      </c>
      <c r="U19" s="37" t="str">
        <f t="shared" si="8"/>
        <v/>
      </c>
      <c r="V19" s="36" t="str">
        <f t="shared" si="9"/>
        <v/>
      </c>
      <c r="W19" s="37" t="str">
        <f t="shared" si="10"/>
        <v/>
      </c>
      <c r="X19" s="36" t="str">
        <f t="shared" si="11"/>
        <v/>
      </c>
      <c r="Y19" s="36" t="str">
        <f t="shared" si="12"/>
        <v/>
      </c>
      <c r="Z19" s="37" t="str">
        <f t="shared" si="13"/>
        <v/>
      </c>
      <c r="AA19" s="36" t="str">
        <f t="shared" si="14"/>
        <v/>
      </c>
      <c r="AB19" s="37" t="str">
        <f t="shared" si="15"/>
        <v/>
      </c>
      <c r="AC19" s="36" t="str">
        <f t="shared" si="16"/>
        <v/>
      </c>
      <c r="AD19" s="37" t="str">
        <f t="shared" si="17"/>
        <v/>
      </c>
      <c r="AE19" s="36" t="str">
        <f t="shared" si="18"/>
        <v/>
      </c>
      <c r="AF19" s="36" t="str">
        <f t="shared" si="19"/>
        <v/>
      </c>
      <c r="AG19" s="37" t="str">
        <f t="shared" si="20"/>
        <v/>
      </c>
      <c r="AH19" s="33" t="str">
        <f t="shared" si="21"/>
        <v/>
      </c>
      <c r="AI19" s="12" t="str">
        <f>IFERROR(VLOOKUP($B19,DM_Doanh_nghiep!$A$2:$I$1501,9,FALSE),"")</f>
        <v/>
      </c>
    </row>
    <row r="20" spans="1:35">
      <c r="A20" s="31"/>
      <c r="B20" s="32"/>
      <c r="C20" s="33" t="str">
        <f>IFERROR(VLOOKUP($B20,DM_Doanh_nghiep!$A$2:$H$1001,2,FALSE),"")</f>
        <v/>
      </c>
      <c r="D20" s="33" t="str">
        <f>IFERROR(VLOOKUP($B20,DM_Doanh_nghiep!$A$2:$H$1001,4,FALSE),"")</f>
        <v/>
      </c>
      <c r="E20" s="33" t="str">
        <f>IFERROR(VLOOKUP($B20,DM_Doanh_nghiep!$A$2:$H$1001,5,FALSE),"")</f>
        <v/>
      </c>
      <c r="F20" s="34"/>
      <c r="G20" s="34"/>
      <c r="H20" s="35"/>
      <c r="I20" s="35"/>
      <c r="J20" s="35"/>
      <c r="K20" s="34"/>
      <c r="L20" s="34"/>
      <c r="M20" s="36" t="str">
        <f t="shared" si="0"/>
        <v/>
      </c>
      <c r="N20" s="37" t="str">
        <f t="shared" si="1"/>
        <v/>
      </c>
      <c r="O20" s="36" t="str">
        <f t="shared" si="2"/>
        <v/>
      </c>
      <c r="P20" s="37" t="str">
        <f t="shared" si="3"/>
        <v/>
      </c>
      <c r="Q20" s="36" t="str">
        <f t="shared" si="4"/>
        <v/>
      </c>
      <c r="R20" s="36" t="str">
        <f t="shared" si="5"/>
        <v/>
      </c>
      <c r="S20" s="37" t="str">
        <f t="shared" si="6"/>
        <v/>
      </c>
      <c r="T20" s="36" t="str">
        <f t="shared" si="7"/>
        <v/>
      </c>
      <c r="U20" s="37" t="str">
        <f t="shared" si="8"/>
        <v/>
      </c>
      <c r="V20" s="36" t="str">
        <f t="shared" si="9"/>
        <v/>
      </c>
      <c r="W20" s="37" t="str">
        <f t="shared" si="10"/>
        <v/>
      </c>
      <c r="X20" s="36" t="str">
        <f t="shared" si="11"/>
        <v/>
      </c>
      <c r="Y20" s="36" t="str">
        <f t="shared" si="12"/>
        <v/>
      </c>
      <c r="Z20" s="37" t="str">
        <f t="shared" si="13"/>
        <v/>
      </c>
      <c r="AA20" s="36" t="str">
        <f t="shared" si="14"/>
        <v/>
      </c>
      <c r="AB20" s="37" t="str">
        <f t="shared" si="15"/>
        <v/>
      </c>
      <c r="AC20" s="36" t="str">
        <f t="shared" si="16"/>
        <v/>
      </c>
      <c r="AD20" s="37" t="str">
        <f t="shared" si="17"/>
        <v/>
      </c>
      <c r="AE20" s="36" t="str">
        <f t="shared" si="18"/>
        <v/>
      </c>
      <c r="AF20" s="36" t="str">
        <f t="shared" si="19"/>
        <v/>
      </c>
      <c r="AG20" s="37" t="str">
        <f t="shared" si="20"/>
        <v/>
      </c>
      <c r="AH20" s="33" t="str">
        <f t="shared" si="21"/>
        <v/>
      </c>
      <c r="AI20" s="12" t="str">
        <f>IFERROR(VLOOKUP($B20,DM_Doanh_nghiep!$A$2:$I$1501,9,FALSE),"")</f>
        <v/>
      </c>
    </row>
    <row r="21" spans="1:35">
      <c r="A21" s="31"/>
      <c r="B21" s="32"/>
      <c r="C21" s="33" t="str">
        <f>IFERROR(VLOOKUP($B21,DM_Doanh_nghiep!$A$2:$H$1001,2,FALSE),"")</f>
        <v/>
      </c>
      <c r="D21" s="33" t="str">
        <f>IFERROR(VLOOKUP($B21,DM_Doanh_nghiep!$A$2:$H$1001,4,FALSE),"")</f>
        <v/>
      </c>
      <c r="E21" s="33" t="str">
        <f>IFERROR(VLOOKUP($B21,DM_Doanh_nghiep!$A$2:$H$1001,5,FALSE),"")</f>
        <v/>
      </c>
      <c r="F21" s="34"/>
      <c r="G21" s="34"/>
      <c r="H21" s="35"/>
      <c r="I21" s="35"/>
      <c r="J21" s="35"/>
      <c r="K21" s="34"/>
      <c r="L21" s="34"/>
      <c r="M21" s="36" t="str">
        <f t="shared" si="0"/>
        <v/>
      </c>
      <c r="N21" s="37" t="str">
        <f t="shared" si="1"/>
        <v/>
      </c>
      <c r="O21" s="36" t="str">
        <f t="shared" si="2"/>
        <v/>
      </c>
      <c r="P21" s="37" t="str">
        <f t="shared" si="3"/>
        <v/>
      </c>
      <c r="Q21" s="36" t="str">
        <f t="shared" si="4"/>
        <v/>
      </c>
      <c r="R21" s="36" t="str">
        <f t="shared" si="5"/>
        <v/>
      </c>
      <c r="S21" s="37" t="str">
        <f t="shared" si="6"/>
        <v/>
      </c>
      <c r="T21" s="36" t="str">
        <f t="shared" si="7"/>
        <v/>
      </c>
      <c r="U21" s="37" t="str">
        <f t="shared" si="8"/>
        <v/>
      </c>
      <c r="V21" s="36" t="str">
        <f t="shared" si="9"/>
        <v/>
      </c>
      <c r="W21" s="37" t="str">
        <f t="shared" si="10"/>
        <v/>
      </c>
      <c r="X21" s="36" t="str">
        <f t="shared" si="11"/>
        <v/>
      </c>
      <c r="Y21" s="36" t="str">
        <f t="shared" si="12"/>
        <v/>
      </c>
      <c r="Z21" s="37" t="str">
        <f t="shared" si="13"/>
        <v/>
      </c>
      <c r="AA21" s="36" t="str">
        <f t="shared" si="14"/>
        <v/>
      </c>
      <c r="AB21" s="37" t="str">
        <f t="shared" si="15"/>
        <v/>
      </c>
      <c r="AC21" s="36" t="str">
        <f t="shared" si="16"/>
        <v/>
      </c>
      <c r="AD21" s="37" t="str">
        <f t="shared" si="17"/>
        <v/>
      </c>
      <c r="AE21" s="36" t="str">
        <f t="shared" si="18"/>
        <v/>
      </c>
      <c r="AF21" s="36" t="str">
        <f t="shared" si="19"/>
        <v/>
      </c>
      <c r="AG21" s="37" t="str">
        <f t="shared" si="20"/>
        <v/>
      </c>
      <c r="AH21" s="33" t="str">
        <f t="shared" si="21"/>
        <v/>
      </c>
      <c r="AI21" s="12" t="str">
        <f>IFERROR(VLOOKUP($B21,DM_Doanh_nghiep!$A$2:$I$1501,9,FALSE),"")</f>
        <v/>
      </c>
    </row>
    <row r="22" spans="1:35">
      <c r="A22" s="31"/>
      <c r="B22" s="32"/>
      <c r="C22" s="33" t="str">
        <f>IFERROR(VLOOKUP($B22,DM_Doanh_nghiep!$A$2:$H$1001,2,FALSE),"")</f>
        <v/>
      </c>
      <c r="D22" s="33" t="str">
        <f>IFERROR(VLOOKUP($B22,DM_Doanh_nghiep!$A$2:$H$1001,4,FALSE),"")</f>
        <v/>
      </c>
      <c r="E22" s="33" t="str">
        <f>IFERROR(VLOOKUP($B22,DM_Doanh_nghiep!$A$2:$H$1001,5,FALSE),"")</f>
        <v/>
      </c>
      <c r="F22" s="34"/>
      <c r="G22" s="34"/>
      <c r="H22" s="35"/>
      <c r="I22" s="35"/>
      <c r="J22" s="35"/>
      <c r="K22" s="34"/>
      <c r="L22" s="34"/>
      <c r="M22" s="36" t="str">
        <f t="shared" si="0"/>
        <v/>
      </c>
      <c r="N22" s="37" t="str">
        <f t="shared" si="1"/>
        <v/>
      </c>
      <c r="O22" s="36" t="str">
        <f t="shared" si="2"/>
        <v/>
      </c>
      <c r="P22" s="37" t="str">
        <f t="shared" si="3"/>
        <v/>
      </c>
      <c r="Q22" s="36" t="str">
        <f t="shared" si="4"/>
        <v/>
      </c>
      <c r="R22" s="36" t="str">
        <f t="shared" si="5"/>
        <v/>
      </c>
      <c r="S22" s="37" t="str">
        <f t="shared" si="6"/>
        <v/>
      </c>
      <c r="T22" s="36" t="str">
        <f t="shared" si="7"/>
        <v/>
      </c>
      <c r="U22" s="37" t="str">
        <f t="shared" si="8"/>
        <v/>
      </c>
      <c r="V22" s="36" t="str">
        <f t="shared" si="9"/>
        <v/>
      </c>
      <c r="W22" s="37" t="str">
        <f t="shared" si="10"/>
        <v/>
      </c>
      <c r="X22" s="36" t="str">
        <f t="shared" si="11"/>
        <v/>
      </c>
      <c r="Y22" s="36" t="str">
        <f t="shared" si="12"/>
        <v/>
      </c>
      <c r="Z22" s="37" t="str">
        <f t="shared" si="13"/>
        <v/>
      </c>
      <c r="AA22" s="36" t="str">
        <f t="shared" si="14"/>
        <v/>
      </c>
      <c r="AB22" s="37" t="str">
        <f t="shared" si="15"/>
        <v/>
      </c>
      <c r="AC22" s="36" t="str">
        <f t="shared" si="16"/>
        <v/>
      </c>
      <c r="AD22" s="37" t="str">
        <f t="shared" si="17"/>
        <v/>
      </c>
      <c r="AE22" s="36" t="str">
        <f t="shared" si="18"/>
        <v/>
      </c>
      <c r="AF22" s="36" t="str">
        <f t="shared" si="19"/>
        <v/>
      </c>
      <c r="AG22" s="37" t="str">
        <f t="shared" si="20"/>
        <v/>
      </c>
      <c r="AH22" s="33" t="str">
        <f t="shared" si="21"/>
        <v/>
      </c>
      <c r="AI22" s="12" t="str">
        <f>IFERROR(VLOOKUP($B22,DM_Doanh_nghiep!$A$2:$I$1501,9,FALSE),"")</f>
        <v/>
      </c>
    </row>
    <row r="23" spans="1:35">
      <c r="A23" s="3"/>
      <c r="B23" s="4"/>
      <c r="C23" s="5" t="str">
        <f>IFERROR(VLOOKUP($B23,DM_Doanh_nghiep!$A$2:$H$1001,2,FALSE),"")</f>
        <v/>
      </c>
      <c r="D23" s="5" t="str">
        <f>IFERROR(VLOOKUP($B23,DM_Doanh_nghiep!$A$2:$H$1001,4,FALSE),"")</f>
        <v/>
      </c>
      <c r="E23" s="5" t="str">
        <f>IFERROR(VLOOKUP($B23,DM_Doanh_nghiep!$A$2:$H$1001,5,FALSE),"")</f>
        <v/>
      </c>
      <c r="F23" s="6"/>
      <c r="G23" s="6"/>
      <c r="H23" s="7"/>
      <c r="I23" s="7"/>
      <c r="J23" s="7"/>
      <c r="K23" s="6"/>
      <c r="L23" s="6"/>
      <c r="M23" s="8" t="str">
        <f t="shared" si="0"/>
        <v/>
      </c>
      <c r="N23" s="9" t="str">
        <f t="shared" si="1"/>
        <v/>
      </c>
      <c r="O23" s="8" t="str">
        <f t="shared" si="2"/>
        <v/>
      </c>
      <c r="P23" s="9" t="str">
        <f t="shared" si="3"/>
        <v/>
      </c>
      <c r="Q23" s="8" t="str">
        <f t="shared" si="4"/>
        <v/>
      </c>
      <c r="R23" s="8" t="str">
        <f t="shared" si="5"/>
        <v/>
      </c>
      <c r="S23" s="9" t="str">
        <f t="shared" si="6"/>
        <v/>
      </c>
      <c r="T23" s="8" t="str">
        <f t="shared" si="7"/>
        <v/>
      </c>
      <c r="U23" s="9" t="str">
        <f t="shared" si="8"/>
        <v/>
      </c>
      <c r="V23" s="8" t="str">
        <f t="shared" si="9"/>
        <v/>
      </c>
      <c r="W23" s="9" t="str">
        <f t="shared" si="10"/>
        <v/>
      </c>
      <c r="X23" s="8" t="str">
        <f t="shared" si="11"/>
        <v/>
      </c>
      <c r="Y23" s="8" t="str">
        <f t="shared" si="12"/>
        <v/>
      </c>
      <c r="Z23" s="9" t="str">
        <f t="shared" si="13"/>
        <v/>
      </c>
      <c r="AA23" s="8" t="str">
        <f t="shared" si="14"/>
        <v/>
      </c>
      <c r="AB23" s="9" t="str">
        <f t="shared" si="15"/>
        <v/>
      </c>
      <c r="AC23" s="8" t="str">
        <f t="shared" si="16"/>
        <v/>
      </c>
      <c r="AD23" s="9" t="str">
        <f t="shared" si="17"/>
        <v/>
      </c>
      <c r="AE23" s="8" t="str">
        <f t="shared" si="18"/>
        <v/>
      </c>
      <c r="AF23" s="8" t="str">
        <f t="shared" si="19"/>
        <v/>
      </c>
      <c r="AG23" s="9" t="str">
        <f t="shared" si="20"/>
        <v/>
      </c>
      <c r="AH23" s="5" t="str">
        <f t="shared" si="21"/>
        <v/>
      </c>
      <c r="AI23" s="12" t="str">
        <f>IFERROR(VLOOKUP($B23,DM_Doanh_nghiep!$A$2:$I$1501,9,FALSE),"")</f>
        <v/>
      </c>
    </row>
    <row r="24" spans="1:35">
      <c r="A24" s="3"/>
      <c r="B24" s="4"/>
      <c r="C24" s="5" t="str">
        <f>IFERROR(VLOOKUP($B24,DM_Doanh_nghiep!$A$2:$H$1001,2,FALSE),"")</f>
        <v/>
      </c>
      <c r="D24" s="5" t="str">
        <f>IFERROR(VLOOKUP($B24,DM_Doanh_nghiep!$A$2:$H$1001,4,FALSE),"")</f>
        <v/>
      </c>
      <c r="E24" s="5" t="str">
        <f>IFERROR(VLOOKUP($B24,DM_Doanh_nghiep!$A$2:$H$1001,5,FALSE),"")</f>
        <v/>
      </c>
      <c r="F24" s="6"/>
      <c r="G24" s="6"/>
      <c r="H24" s="7"/>
      <c r="I24" s="7"/>
      <c r="J24" s="7"/>
      <c r="K24" s="6"/>
      <c r="L24" s="6"/>
      <c r="M24" s="8" t="str">
        <f t="shared" si="0"/>
        <v/>
      </c>
      <c r="N24" s="9" t="str">
        <f t="shared" si="1"/>
        <v/>
      </c>
      <c r="O24" s="8" t="str">
        <f t="shared" si="2"/>
        <v/>
      </c>
      <c r="P24" s="9" t="str">
        <f t="shared" si="3"/>
        <v/>
      </c>
      <c r="Q24" s="8" t="str">
        <f t="shared" si="4"/>
        <v/>
      </c>
      <c r="R24" s="8" t="str">
        <f t="shared" si="5"/>
        <v/>
      </c>
      <c r="S24" s="9" t="str">
        <f t="shared" si="6"/>
        <v/>
      </c>
      <c r="T24" s="8" t="str">
        <f t="shared" si="7"/>
        <v/>
      </c>
      <c r="U24" s="9" t="str">
        <f t="shared" si="8"/>
        <v/>
      </c>
      <c r="V24" s="8" t="str">
        <f t="shared" si="9"/>
        <v/>
      </c>
      <c r="W24" s="9" t="str">
        <f t="shared" si="10"/>
        <v/>
      </c>
      <c r="X24" s="8" t="str">
        <f t="shared" si="11"/>
        <v/>
      </c>
      <c r="Y24" s="8" t="str">
        <f t="shared" si="12"/>
        <v/>
      </c>
      <c r="Z24" s="9" t="str">
        <f t="shared" si="13"/>
        <v/>
      </c>
      <c r="AA24" s="8" t="str">
        <f t="shared" si="14"/>
        <v/>
      </c>
      <c r="AB24" s="9" t="str">
        <f t="shared" si="15"/>
        <v/>
      </c>
      <c r="AC24" s="8" t="str">
        <f t="shared" si="16"/>
        <v/>
      </c>
      <c r="AD24" s="9" t="str">
        <f t="shared" si="17"/>
        <v/>
      </c>
      <c r="AE24" s="8" t="str">
        <f t="shared" si="18"/>
        <v/>
      </c>
      <c r="AF24" s="8" t="str">
        <f t="shared" si="19"/>
        <v/>
      </c>
      <c r="AG24" s="9" t="str">
        <f t="shared" si="20"/>
        <v/>
      </c>
      <c r="AH24" s="5" t="str">
        <f t="shared" si="21"/>
        <v/>
      </c>
      <c r="AI24" s="12" t="str">
        <f>IFERROR(VLOOKUP($B24,DM_Doanh_nghiep!$A$2:$I$1501,9,FALSE),"")</f>
        <v/>
      </c>
    </row>
    <row r="25" spans="1:35">
      <c r="A25" s="3"/>
      <c r="B25" s="4"/>
      <c r="C25" s="5" t="str">
        <f>IFERROR(VLOOKUP($B25,DM_Doanh_nghiep!$A$2:$H$1001,2,FALSE),"")</f>
        <v/>
      </c>
      <c r="D25" s="5" t="str">
        <f>IFERROR(VLOOKUP($B25,DM_Doanh_nghiep!$A$2:$H$1001,4,FALSE),"")</f>
        <v/>
      </c>
      <c r="E25" s="5" t="str">
        <f>IFERROR(VLOOKUP($B25,DM_Doanh_nghiep!$A$2:$H$1001,5,FALSE),"")</f>
        <v/>
      </c>
      <c r="F25" s="6"/>
      <c r="G25" s="6"/>
      <c r="H25" s="7"/>
      <c r="I25" s="7"/>
      <c r="J25" s="7"/>
      <c r="K25" s="6"/>
      <c r="L25" s="6"/>
      <c r="M25" s="8" t="str">
        <f t="shared" si="0"/>
        <v/>
      </c>
      <c r="N25" s="9" t="str">
        <f t="shared" si="1"/>
        <v/>
      </c>
      <c r="O25" s="8" t="str">
        <f t="shared" si="2"/>
        <v/>
      </c>
      <c r="P25" s="9" t="str">
        <f t="shared" si="3"/>
        <v/>
      </c>
      <c r="Q25" s="8" t="str">
        <f t="shared" si="4"/>
        <v/>
      </c>
      <c r="R25" s="8" t="str">
        <f t="shared" si="5"/>
        <v/>
      </c>
      <c r="S25" s="9" t="str">
        <f t="shared" si="6"/>
        <v/>
      </c>
      <c r="T25" s="8" t="str">
        <f t="shared" si="7"/>
        <v/>
      </c>
      <c r="U25" s="9" t="str">
        <f t="shared" si="8"/>
        <v/>
      </c>
      <c r="V25" s="8" t="str">
        <f t="shared" si="9"/>
        <v/>
      </c>
      <c r="W25" s="9" t="str">
        <f t="shared" si="10"/>
        <v/>
      </c>
      <c r="X25" s="8" t="str">
        <f t="shared" si="11"/>
        <v/>
      </c>
      <c r="Y25" s="8" t="str">
        <f t="shared" si="12"/>
        <v/>
      </c>
      <c r="Z25" s="9" t="str">
        <f t="shared" si="13"/>
        <v/>
      </c>
      <c r="AA25" s="8" t="str">
        <f t="shared" si="14"/>
        <v/>
      </c>
      <c r="AB25" s="9" t="str">
        <f t="shared" si="15"/>
        <v/>
      </c>
      <c r="AC25" s="8" t="str">
        <f t="shared" si="16"/>
        <v/>
      </c>
      <c r="AD25" s="9" t="str">
        <f t="shared" si="17"/>
        <v/>
      </c>
      <c r="AE25" s="8" t="str">
        <f t="shared" si="18"/>
        <v/>
      </c>
      <c r="AF25" s="8" t="str">
        <f t="shared" si="19"/>
        <v/>
      </c>
      <c r="AG25" s="9" t="str">
        <f t="shared" si="20"/>
        <v/>
      </c>
      <c r="AH25" s="5" t="str">
        <f t="shared" si="21"/>
        <v/>
      </c>
      <c r="AI25" s="12" t="str">
        <f>IFERROR(VLOOKUP($B25,DM_Doanh_nghiep!$A$2:$I$1501,9,FALSE),"")</f>
        <v/>
      </c>
    </row>
    <row r="26" spans="1:35">
      <c r="A26" s="3"/>
      <c r="B26" s="4"/>
      <c r="C26" s="5" t="str">
        <f>IFERROR(VLOOKUP($B26,DM_Doanh_nghiep!$A$2:$H$1001,2,FALSE),"")</f>
        <v/>
      </c>
      <c r="D26" s="5" t="str">
        <f>IFERROR(VLOOKUP($B26,DM_Doanh_nghiep!$A$2:$H$1001,4,FALSE),"")</f>
        <v/>
      </c>
      <c r="E26" s="5" t="str">
        <f>IFERROR(VLOOKUP($B26,DM_Doanh_nghiep!$A$2:$H$1001,5,FALSE),"")</f>
        <v/>
      </c>
      <c r="F26" s="6"/>
      <c r="G26" s="6"/>
      <c r="H26" s="7"/>
      <c r="I26" s="7"/>
      <c r="J26" s="7"/>
      <c r="K26" s="6"/>
      <c r="L26" s="6"/>
      <c r="M26" s="8" t="str">
        <f t="shared" si="0"/>
        <v/>
      </c>
      <c r="N26" s="9" t="str">
        <f t="shared" si="1"/>
        <v/>
      </c>
      <c r="O26" s="8" t="str">
        <f t="shared" si="2"/>
        <v/>
      </c>
      <c r="P26" s="9" t="str">
        <f t="shared" si="3"/>
        <v/>
      </c>
      <c r="Q26" s="8" t="str">
        <f t="shared" si="4"/>
        <v/>
      </c>
      <c r="R26" s="8" t="str">
        <f t="shared" si="5"/>
        <v/>
      </c>
      <c r="S26" s="9" t="str">
        <f t="shared" si="6"/>
        <v/>
      </c>
      <c r="T26" s="8" t="str">
        <f t="shared" si="7"/>
        <v/>
      </c>
      <c r="U26" s="9" t="str">
        <f t="shared" si="8"/>
        <v/>
      </c>
      <c r="V26" s="8" t="str">
        <f t="shared" si="9"/>
        <v/>
      </c>
      <c r="W26" s="9" t="str">
        <f t="shared" si="10"/>
        <v/>
      </c>
      <c r="X26" s="8" t="str">
        <f t="shared" si="11"/>
        <v/>
      </c>
      <c r="Y26" s="8" t="str">
        <f t="shared" si="12"/>
        <v/>
      </c>
      <c r="Z26" s="9" t="str">
        <f t="shared" si="13"/>
        <v/>
      </c>
      <c r="AA26" s="8" t="str">
        <f t="shared" si="14"/>
        <v/>
      </c>
      <c r="AB26" s="9" t="str">
        <f t="shared" si="15"/>
        <v/>
      </c>
      <c r="AC26" s="8" t="str">
        <f t="shared" si="16"/>
        <v/>
      </c>
      <c r="AD26" s="9" t="str">
        <f t="shared" si="17"/>
        <v/>
      </c>
      <c r="AE26" s="8" t="str">
        <f t="shared" si="18"/>
        <v/>
      </c>
      <c r="AF26" s="8" t="str">
        <f t="shared" si="19"/>
        <v/>
      </c>
      <c r="AG26" s="9" t="str">
        <f t="shared" si="20"/>
        <v/>
      </c>
      <c r="AH26" s="5" t="str">
        <f t="shared" si="21"/>
        <v/>
      </c>
      <c r="AI26" s="12" t="str">
        <f>IFERROR(VLOOKUP($B26,DM_Doanh_nghiep!$A$2:$I$1501,9,FALSE),"")</f>
        <v/>
      </c>
    </row>
    <row r="27" spans="1:35">
      <c r="A27" s="3"/>
      <c r="B27" s="4"/>
      <c r="C27" s="5" t="str">
        <f>IFERROR(VLOOKUP($B27,DM_Doanh_nghiep!$A$2:$H$1001,2,FALSE),"")</f>
        <v/>
      </c>
      <c r="D27" s="5" t="str">
        <f>IFERROR(VLOOKUP($B27,DM_Doanh_nghiep!$A$2:$H$1001,4,FALSE),"")</f>
        <v/>
      </c>
      <c r="E27" s="5" t="str">
        <f>IFERROR(VLOOKUP($B27,DM_Doanh_nghiep!$A$2:$H$1001,5,FALSE),"")</f>
        <v/>
      </c>
      <c r="F27" s="6"/>
      <c r="G27" s="6"/>
      <c r="H27" s="7"/>
      <c r="I27" s="7"/>
      <c r="J27" s="7"/>
      <c r="K27" s="6"/>
      <c r="L27" s="6"/>
      <c r="M27" s="8" t="str">
        <f t="shared" si="0"/>
        <v/>
      </c>
      <c r="N27" s="9" t="str">
        <f t="shared" si="1"/>
        <v/>
      </c>
      <c r="O27" s="8" t="str">
        <f t="shared" si="2"/>
        <v/>
      </c>
      <c r="P27" s="9" t="str">
        <f t="shared" si="3"/>
        <v/>
      </c>
      <c r="Q27" s="8" t="str">
        <f t="shared" si="4"/>
        <v/>
      </c>
      <c r="R27" s="8" t="str">
        <f t="shared" si="5"/>
        <v/>
      </c>
      <c r="S27" s="9" t="str">
        <f t="shared" si="6"/>
        <v/>
      </c>
      <c r="T27" s="8" t="str">
        <f t="shared" si="7"/>
        <v/>
      </c>
      <c r="U27" s="9" t="str">
        <f t="shared" si="8"/>
        <v/>
      </c>
      <c r="V27" s="8" t="str">
        <f t="shared" si="9"/>
        <v/>
      </c>
      <c r="W27" s="9" t="str">
        <f t="shared" si="10"/>
        <v/>
      </c>
      <c r="X27" s="8" t="str">
        <f t="shared" si="11"/>
        <v/>
      </c>
      <c r="Y27" s="8" t="str">
        <f t="shared" si="12"/>
        <v/>
      </c>
      <c r="Z27" s="9" t="str">
        <f t="shared" si="13"/>
        <v/>
      </c>
      <c r="AA27" s="8" t="str">
        <f t="shared" si="14"/>
        <v/>
      </c>
      <c r="AB27" s="9" t="str">
        <f t="shared" si="15"/>
        <v/>
      </c>
      <c r="AC27" s="8" t="str">
        <f t="shared" si="16"/>
        <v/>
      </c>
      <c r="AD27" s="9" t="str">
        <f t="shared" si="17"/>
        <v/>
      </c>
      <c r="AE27" s="8" t="str">
        <f t="shared" si="18"/>
        <v/>
      </c>
      <c r="AF27" s="8" t="str">
        <f t="shared" si="19"/>
        <v/>
      </c>
      <c r="AG27" s="9" t="str">
        <f t="shared" si="20"/>
        <v/>
      </c>
      <c r="AH27" s="5" t="str">
        <f t="shared" si="21"/>
        <v/>
      </c>
      <c r="AI27" s="12" t="str">
        <f>IFERROR(VLOOKUP($B27,DM_Doanh_nghiep!$A$2:$I$1501,9,FALSE),"")</f>
        <v/>
      </c>
    </row>
    <row r="28" spans="1:35">
      <c r="A28" s="3"/>
      <c r="B28" s="4"/>
      <c r="C28" s="5" t="str">
        <f>IFERROR(VLOOKUP($B28,DM_Doanh_nghiep!$A$2:$H$1001,2,FALSE),"")</f>
        <v/>
      </c>
      <c r="D28" s="5" t="str">
        <f>IFERROR(VLOOKUP($B28,DM_Doanh_nghiep!$A$2:$H$1001,4,FALSE),"")</f>
        <v/>
      </c>
      <c r="E28" s="5" t="str">
        <f>IFERROR(VLOOKUP($B28,DM_Doanh_nghiep!$A$2:$H$1001,5,FALSE),"")</f>
        <v/>
      </c>
      <c r="F28" s="6"/>
      <c r="G28" s="6"/>
      <c r="H28" s="7"/>
      <c r="I28" s="7"/>
      <c r="J28" s="7"/>
      <c r="K28" s="6"/>
      <c r="L28" s="6"/>
      <c r="M28" s="8" t="str">
        <f t="shared" si="0"/>
        <v/>
      </c>
      <c r="N28" s="9" t="str">
        <f t="shared" si="1"/>
        <v/>
      </c>
      <c r="O28" s="8" t="str">
        <f t="shared" si="2"/>
        <v/>
      </c>
      <c r="P28" s="9" t="str">
        <f t="shared" si="3"/>
        <v/>
      </c>
      <c r="Q28" s="8" t="str">
        <f t="shared" si="4"/>
        <v/>
      </c>
      <c r="R28" s="8" t="str">
        <f t="shared" si="5"/>
        <v/>
      </c>
      <c r="S28" s="9" t="str">
        <f t="shared" si="6"/>
        <v/>
      </c>
      <c r="T28" s="8" t="str">
        <f t="shared" si="7"/>
        <v/>
      </c>
      <c r="U28" s="9" t="str">
        <f t="shared" si="8"/>
        <v/>
      </c>
      <c r="V28" s="8" t="str">
        <f t="shared" si="9"/>
        <v/>
      </c>
      <c r="W28" s="9" t="str">
        <f t="shared" si="10"/>
        <v/>
      </c>
      <c r="X28" s="8" t="str">
        <f t="shared" si="11"/>
        <v/>
      </c>
      <c r="Y28" s="8" t="str">
        <f t="shared" si="12"/>
        <v/>
      </c>
      <c r="Z28" s="9" t="str">
        <f t="shared" si="13"/>
        <v/>
      </c>
      <c r="AA28" s="8" t="str">
        <f t="shared" si="14"/>
        <v/>
      </c>
      <c r="AB28" s="9" t="str">
        <f t="shared" si="15"/>
        <v/>
      </c>
      <c r="AC28" s="8" t="str">
        <f t="shared" si="16"/>
        <v/>
      </c>
      <c r="AD28" s="9" t="str">
        <f t="shared" si="17"/>
        <v/>
      </c>
      <c r="AE28" s="8" t="str">
        <f t="shared" si="18"/>
        <v/>
      </c>
      <c r="AF28" s="8" t="str">
        <f t="shared" si="19"/>
        <v/>
      </c>
      <c r="AG28" s="9" t="str">
        <f t="shared" si="20"/>
        <v/>
      </c>
      <c r="AH28" s="5" t="str">
        <f t="shared" si="21"/>
        <v/>
      </c>
      <c r="AI28" s="12" t="str">
        <f>IFERROR(VLOOKUP($B28,DM_Doanh_nghiep!$A$2:$I$1501,9,FALSE),"")</f>
        <v/>
      </c>
    </row>
    <row r="29" spans="1:35">
      <c r="A29" s="3"/>
      <c r="B29" s="4"/>
      <c r="C29" s="5" t="str">
        <f>IFERROR(VLOOKUP($B29,DM_Doanh_nghiep!$A$2:$H$1001,2,FALSE),"")</f>
        <v/>
      </c>
      <c r="D29" s="5" t="str">
        <f>IFERROR(VLOOKUP($B29,DM_Doanh_nghiep!$A$2:$H$1001,4,FALSE),"")</f>
        <v/>
      </c>
      <c r="E29" s="5" t="str">
        <f>IFERROR(VLOOKUP($B29,DM_Doanh_nghiep!$A$2:$H$1001,5,FALSE),"")</f>
        <v/>
      </c>
      <c r="F29" s="6"/>
      <c r="G29" s="6"/>
      <c r="H29" s="7"/>
      <c r="I29" s="7"/>
      <c r="J29" s="7"/>
      <c r="K29" s="6"/>
      <c r="L29" s="6"/>
      <c r="M29" s="8" t="str">
        <f t="shared" si="0"/>
        <v/>
      </c>
      <c r="N29" s="9" t="str">
        <f t="shared" si="1"/>
        <v/>
      </c>
      <c r="O29" s="8" t="str">
        <f t="shared" si="2"/>
        <v/>
      </c>
      <c r="P29" s="9" t="str">
        <f t="shared" si="3"/>
        <v/>
      </c>
      <c r="Q29" s="8" t="str">
        <f t="shared" si="4"/>
        <v/>
      </c>
      <c r="R29" s="8" t="str">
        <f t="shared" si="5"/>
        <v/>
      </c>
      <c r="S29" s="9" t="str">
        <f t="shared" si="6"/>
        <v/>
      </c>
      <c r="T29" s="8" t="str">
        <f t="shared" si="7"/>
        <v/>
      </c>
      <c r="U29" s="9" t="str">
        <f t="shared" si="8"/>
        <v/>
      </c>
      <c r="V29" s="8" t="str">
        <f t="shared" si="9"/>
        <v/>
      </c>
      <c r="W29" s="9" t="str">
        <f t="shared" si="10"/>
        <v/>
      </c>
      <c r="X29" s="8" t="str">
        <f t="shared" si="11"/>
        <v/>
      </c>
      <c r="Y29" s="8" t="str">
        <f t="shared" si="12"/>
        <v/>
      </c>
      <c r="Z29" s="9" t="str">
        <f t="shared" si="13"/>
        <v/>
      </c>
      <c r="AA29" s="8" t="str">
        <f t="shared" si="14"/>
        <v/>
      </c>
      <c r="AB29" s="9" t="str">
        <f t="shared" si="15"/>
        <v/>
      </c>
      <c r="AC29" s="8" t="str">
        <f t="shared" si="16"/>
        <v/>
      </c>
      <c r="AD29" s="9" t="str">
        <f t="shared" si="17"/>
        <v/>
      </c>
      <c r="AE29" s="8" t="str">
        <f t="shared" si="18"/>
        <v/>
      </c>
      <c r="AF29" s="8" t="str">
        <f t="shared" si="19"/>
        <v/>
      </c>
      <c r="AG29" s="9" t="str">
        <f t="shared" si="20"/>
        <v/>
      </c>
      <c r="AH29" s="5" t="str">
        <f t="shared" si="21"/>
        <v/>
      </c>
      <c r="AI29" s="12" t="str">
        <f>IFERROR(VLOOKUP($B29,DM_Doanh_nghiep!$A$2:$I$1501,9,FALSE),"")</f>
        <v/>
      </c>
    </row>
    <row r="30" spans="1:35">
      <c r="A30" s="3"/>
      <c r="B30" s="4"/>
      <c r="C30" s="5" t="str">
        <f>IFERROR(VLOOKUP($B30,DM_Doanh_nghiep!$A$2:$H$1001,2,FALSE),"")</f>
        <v/>
      </c>
      <c r="D30" s="5" t="str">
        <f>IFERROR(VLOOKUP($B30,DM_Doanh_nghiep!$A$2:$H$1001,4,FALSE),"")</f>
        <v/>
      </c>
      <c r="E30" s="5" t="str">
        <f>IFERROR(VLOOKUP($B30,DM_Doanh_nghiep!$A$2:$H$1001,5,FALSE),"")</f>
        <v/>
      </c>
      <c r="F30" s="6"/>
      <c r="G30" s="6"/>
      <c r="H30" s="7"/>
      <c r="I30" s="7"/>
      <c r="J30" s="7"/>
      <c r="K30" s="6"/>
      <c r="L30" s="6"/>
      <c r="M30" s="8" t="str">
        <f t="shared" si="0"/>
        <v/>
      </c>
      <c r="N30" s="9" t="str">
        <f t="shared" si="1"/>
        <v/>
      </c>
      <c r="O30" s="8" t="str">
        <f t="shared" si="2"/>
        <v/>
      </c>
      <c r="P30" s="9" t="str">
        <f t="shared" si="3"/>
        <v/>
      </c>
      <c r="Q30" s="8" t="str">
        <f t="shared" si="4"/>
        <v/>
      </c>
      <c r="R30" s="8" t="str">
        <f t="shared" si="5"/>
        <v/>
      </c>
      <c r="S30" s="9" t="str">
        <f t="shared" si="6"/>
        <v/>
      </c>
      <c r="T30" s="8" t="str">
        <f t="shared" si="7"/>
        <v/>
      </c>
      <c r="U30" s="9" t="str">
        <f t="shared" si="8"/>
        <v/>
      </c>
      <c r="V30" s="8" t="str">
        <f t="shared" si="9"/>
        <v/>
      </c>
      <c r="W30" s="9" t="str">
        <f t="shared" si="10"/>
        <v/>
      </c>
      <c r="X30" s="8" t="str">
        <f t="shared" si="11"/>
        <v/>
      </c>
      <c r="Y30" s="8" t="str">
        <f t="shared" si="12"/>
        <v/>
      </c>
      <c r="Z30" s="9" t="str">
        <f t="shared" si="13"/>
        <v/>
      </c>
      <c r="AA30" s="8" t="str">
        <f t="shared" si="14"/>
        <v/>
      </c>
      <c r="AB30" s="9" t="str">
        <f t="shared" si="15"/>
        <v/>
      </c>
      <c r="AC30" s="8" t="str">
        <f t="shared" si="16"/>
        <v/>
      </c>
      <c r="AD30" s="9" t="str">
        <f t="shared" si="17"/>
        <v/>
      </c>
      <c r="AE30" s="8" t="str">
        <f t="shared" si="18"/>
        <v/>
      </c>
      <c r="AF30" s="8" t="str">
        <f t="shared" si="19"/>
        <v/>
      </c>
      <c r="AG30" s="9" t="str">
        <f t="shared" si="20"/>
        <v/>
      </c>
      <c r="AH30" s="5" t="str">
        <f t="shared" si="21"/>
        <v/>
      </c>
      <c r="AI30" s="12" t="str">
        <f>IFERROR(VLOOKUP($B30,DM_Doanh_nghiep!$A$2:$I$1501,9,FALSE),"")</f>
        <v/>
      </c>
    </row>
    <row r="31" spans="1:35">
      <c r="A31" s="3"/>
      <c r="B31" s="4"/>
      <c r="C31" s="5" t="str">
        <f>IFERROR(VLOOKUP($B31,DM_Doanh_nghiep!$A$2:$H$1001,2,FALSE),"")</f>
        <v/>
      </c>
      <c r="D31" s="5" t="str">
        <f>IFERROR(VLOOKUP($B31,DM_Doanh_nghiep!$A$2:$H$1001,4,FALSE),"")</f>
        <v/>
      </c>
      <c r="E31" s="5" t="str">
        <f>IFERROR(VLOOKUP($B31,DM_Doanh_nghiep!$A$2:$H$1001,5,FALSE),"")</f>
        <v/>
      </c>
      <c r="F31" s="6"/>
      <c r="G31" s="6"/>
      <c r="H31" s="7"/>
      <c r="I31" s="7"/>
      <c r="J31" s="7"/>
      <c r="K31" s="6"/>
      <c r="L31" s="6"/>
      <c r="M31" s="8" t="str">
        <f t="shared" si="0"/>
        <v/>
      </c>
      <c r="N31" s="9" t="str">
        <f t="shared" si="1"/>
        <v/>
      </c>
      <c r="O31" s="8" t="str">
        <f t="shared" si="2"/>
        <v/>
      </c>
      <c r="P31" s="9" t="str">
        <f t="shared" si="3"/>
        <v/>
      </c>
      <c r="Q31" s="8" t="str">
        <f t="shared" si="4"/>
        <v/>
      </c>
      <c r="R31" s="8" t="str">
        <f t="shared" si="5"/>
        <v/>
      </c>
      <c r="S31" s="9" t="str">
        <f t="shared" si="6"/>
        <v/>
      </c>
      <c r="T31" s="8" t="str">
        <f t="shared" si="7"/>
        <v/>
      </c>
      <c r="U31" s="9" t="str">
        <f t="shared" si="8"/>
        <v/>
      </c>
      <c r="V31" s="8" t="str">
        <f t="shared" si="9"/>
        <v/>
      </c>
      <c r="W31" s="9" t="str">
        <f t="shared" si="10"/>
        <v/>
      </c>
      <c r="X31" s="8" t="str">
        <f t="shared" si="11"/>
        <v/>
      </c>
      <c r="Y31" s="8" t="str">
        <f t="shared" si="12"/>
        <v/>
      </c>
      <c r="Z31" s="9" t="str">
        <f t="shared" si="13"/>
        <v/>
      </c>
      <c r="AA31" s="8" t="str">
        <f t="shared" si="14"/>
        <v/>
      </c>
      <c r="AB31" s="9" t="str">
        <f t="shared" si="15"/>
        <v/>
      </c>
      <c r="AC31" s="8" t="str">
        <f t="shared" si="16"/>
        <v/>
      </c>
      <c r="AD31" s="9" t="str">
        <f t="shared" si="17"/>
        <v/>
      </c>
      <c r="AE31" s="8" t="str">
        <f t="shared" si="18"/>
        <v/>
      </c>
      <c r="AF31" s="8" t="str">
        <f t="shared" si="19"/>
        <v/>
      </c>
      <c r="AG31" s="9" t="str">
        <f t="shared" si="20"/>
        <v/>
      </c>
      <c r="AH31" s="5" t="str">
        <f t="shared" si="21"/>
        <v/>
      </c>
      <c r="AI31" s="12" t="str">
        <f>IFERROR(VLOOKUP($B31,DM_Doanh_nghiep!$A$2:$I$1501,9,FALSE),"")</f>
        <v/>
      </c>
    </row>
    <row r="32" spans="1:35">
      <c r="A32" s="3"/>
      <c r="B32" s="4"/>
      <c r="C32" s="5" t="str">
        <f>IFERROR(VLOOKUP($B32,DM_Doanh_nghiep!$A$2:$H$1001,2,FALSE),"")</f>
        <v/>
      </c>
      <c r="D32" s="5" t="str">
        <f>IFERROR(VLOOKUP($B32,DM_Doanh_nghiep!$A$2:$H$1001,4,FALSE),"")</f>
        <v/>
      </c>
      <c r="E32" s="5" t="str">
        <f>IFERROR(VLOOKUP($B32,DM_Doanh_nghiep!$A$2:$H$1001,5,FALSE),"")</f>
        <v/>
      </c>
      <c r="F32" s="6"/>
      <c r="G32" s="6"/>
      <c r="H32" s="7"/>
      <c r="I32" s="7"/>
      <c r="J32" s="7"/>
      <c r="K32" s="6"/>
      <c r="L32" s="6"/>
      <c r="M32" s="8" t="str">
        <f t="shared" si="0"/>
        <v/>
      </c>
      <c r="N32" s="9" t="str">
        <f t="shared" si="1"/>
        <v/>
      </c>
      <c r="O32" s="8" t="str">
        <f t="shared" si="2"/>
        <v/>
      </c>
      <c r="P32" s="9" t="str">
        <f t="shared" si="3"/>
        <v/>
      </c>
      <c r="Q32" s="8" t="str">
        <f t="shared" si="4"/>
        <v/>
      </c>
      <c r="R32" s="8" t="str">
        <f t="shared" si="5"/>
        <v/>
      </c>
      <c r="S32" s="9" t="str">
        <f t="shared" si="6"/>
        <v/>
      </c>
      <c r="T32" s="8" t="str">
        <f t="shared" si="7"/>
        <v/>
      </c>
      <c r="U32" s="9" t="str">
        <f t="shared" si="8"/>
        <v/>
      </c>
      <c r="V32" s="8" t="str">
        <f t="shared" si="9"/>
        <v/>
      </c>
      <c r="W32" s="9" t="str">
        <f t="shared" si="10"/>
        <v/>
      </c>
      <c r="X32" s="8" t="str">
        <f t="shared" si="11"/>
        <v/>
      </c>
      <c r="Y32" s="8" t="str">
        <f t="shared" si="12"/>
        <v/>
      </c>
      <c r="Z32" s="9" t="str">
        <f t="shared" si="13"/>
        <v/>
      </c>
      <c r="AA32" s="8" t="str">
        <f t="shared" si="14"/>
        <v/>
      </c>
      <c r="AB32" s="9" t="str">
        <f t="shared" si="15"/>
        <v/>
      </c>
      <c r="AC32" s="8" t="str">
        <f t="shared" si="16"/>
        <v/>
      </c>
      <c r="AD32" s="9" t="str">
        <f t="shared" si="17"/>
        <v/>
      </c>
      <c r="AE32" s="8" t="str">
        <f t="shared" si="18"/>
        <v/>
      </c>
      <c r="AF32" s="8" t="str">
        <f t="shared" si="19"/>
        <v/>
      </c>
      <c r="AG32" s="9" t="str">
        <f t="shared" si="20"/>
        <v/>
      </c>
      <c r="AH32" s="5" t="str">
        <f t="shared" si="21"/>
        <v/>
      </c>
      <c r="AI32" s="12" t="str">
        <f>IFERROR(VLOOKUP($B32,DM_Doanh_nghiep!$A$2:$I$1501,9,FALSE),"")</f>
        <v/>
      </c>
    </row>
    <row r="33" spans="1:35">
      <c r="A33" s="3"/>
      <c r="B33" s="4"/>
      <c r="C33" s="5" t="str">
        <f>IFERROR(VLOOKUP($B33,DM_Doanh_nghiep!$A$2:$H$1001,2,FALSE),"")</f>
        <v/>
      </c>
      <c r="D33" s="5" t="str">
        <f>IFERROR(VLOOKUP($B33,DM_Doanh_nghiep!$A$2:$H$1001,4,FALSE),"")</f>
        <v/>
      </c>
      <c r="E33" s="5" t="str">
        <f>IFERROR(VLOOKUP($B33,DM_Doanh_nghiep!$A$2:$H$1001,5,FALSE),"")</f>
        <v/>
      </c>
      <c r="F33" s="6"/>
      <c r="G33" s="6"/>
      <c r="H33" s="7"/>
      <c r="I33" s="7"/>
      <c r="J33" s="7"/>
      <c r="K33" s="6"/>
      <c r="L33" s="6"/>
      <c r="M33" s="8" t="str">
        <f t="shared" si="0"/>
        <v/>
      </c>
      <c r="N33" s="9" t="str">
        <f t="shared" si="1"/>
        <v/>
      </c>
      <c r="O33" s="8" t="str">
        <f t="shared" si="2"/>
        <v/>
      </c>
      <c r="P33" s="9" t="str">
        <f t="shared" si="3"/>
        <v/>
      </c>
      <c r="Q33" s="8" t="str">
        <f t="shared" si="4"/>
        <v/>
      </c>
      <c r="R33" s="8" t="str">
        <f t="shared" si="5"/>
        <v/>
      </c>
      <c r="S33" s="9" t="str">
        <f t="shared" si="6"/>
        <v/>
      </c>
      <c r="T33" s="8" t="str">
        <f t="shared" si="7"/>
        <v/>
      </c>
      <c r="U33" s="9" t="str">
        <f t="shared" si="8"/>
        <v/>
      </c>
      <c r="V33" s="8" t="str">
        <f t="shared" si="9"/>
        <v/>
      </c>
      <c r="W33" s="9" t="str">
        <f t="shared" si="10"/>
        <v/>
      </c>
      <c r="X33" s="8" t="str">
        <f t="shared" si="11"/>
        <v/>
      </c>
      <c r="Y33" s="8" t="str">
        <f t="shared" si="12"/>
        <v/>
      </c>
      <c r="Z33" s="9" t="str">
        <f t="shared" si="13"/>
        <v/>
      </c>
      <c r="AA33" s="8" t="str">
        <f t="shared" si="14"/>
        <v/>
      </c>
      <c r="AB33" s="9" t="str">
        <f t="shared" si="15"/>
        <v/>
      </c>
      <c r="AC33" s="8" t="str">
        <f t="shared" si="16"/>
        <v/>
      </c>
      <c r="AD33" s="9" t="str">
        <f t="shared" si="17"/>
        <v/>
      </c>
      <c r="AE33" s="8" t="str">
        <f t="shared" si="18"/>
        <v/>
      </c>
      <c r="AF33" s="8" t="str">
        <f t="shared" si="19"/>
        <v/>
      </c>
      <c r="AG33" s="9" t="str">
        <f t="shared" si="20"/>
        <v/>
      </c>
      <c r="AH33" s="5" t="str">
        <f t="shared" si="21"/>
        <v/>
      </c>
      <c r="AI33" s="12" t="str">
        <f>IFERROR(VLOOKUP($B33,DM_Doanh_nghiep!$A$2:$I$1501,9,FALSE),"")</f>
        <v/>
      </c>
    </row>
    <row r="34" spans="1:35">
      <c r="A34" s="3"/>
      <c r="B34" s="4"/>
      <c r="C34" s="5" t="str">
        <f>IFERROR(VLOOKUP($B34,DM_Doanh_nghiep!$A$2:$H$1001,2,FALSE),"")</f>
        <v/>
      </c>
      <c r="D34" s="5" t="str">
        <f>IFERROR(VLOOKUP($B34,DM_Doanh_nghiep!$A$2:$H$1001,4,FALSE),"")</f>
        <v/>
      </c>
      <c r="E34" s="5" t="str">
        <f>IFERROR(VLOOKUP($B34,DM_Doanh_nghiep!$A$2:$H$1001,5,FALSE),"")</f>
        <v/>
      </c>
      <c r="F34" s="6"/>
      <c r="G34" s="6"/>
      <c r="H34" s="7"/>
      <c r="I34" s="7"/>
      <c r="J34" s="7"/>
      <c r="K34" s="6"/>
      <c r="L34" s="6"/>
      <c r="M34" s="8" t="str">
        <f t="shared" ref="M34:M65" si="22">IF(OR($A34="",$B34=""),"",SUMIFS($H$2:$H$101,$B$2:$B$101,$B34,$A$2:$A$101,EDATE($A34,-1)))</f>
        <v/>
      </c>
      <c r="N34" s="9" t="str">
        <f t="shared" ref="N34:N65" si="23">IF(OR($H34="",$M34="",$M34=0),"",$H34/$M34-1)</f>
        <v/>
      </c>
      <c r="O34" s="8" t="str">
        <f t="shared" ref="O34:O65" si="24">IF(OR($A34="",$B34=""),"",SUMIFS($H$2:$H$101,$B$2:$B$101,$B34,$A$2:$A$101,EDATE($A34,-12)))</f>
        <v/>
      </c>
      <c r="P34" s="9" t="str">
        <f t="shared" ref="P34:P65" si="25">IF(OR($H34="",$O34="",$O34=0),"",$H34/$O34-1)</f>
        <v/>
      </c>
      <c r="Q34" s="8" t="str">
        <f t="shared" ref="Q34:Q65" si="26">IF(OR($A34="",$B34=""),"",SUMIFS($H$2:$H$101,$B$2:$B$101,$B34,$A$2:$A$101,"&gt;="&amp;DATE(YEAR($A34),1,1),$A$2:$A$101,"&lt;="&amp;$A34))</f>
        <v/>
      </c>
      <c r="R34" s="8" t="str">
        <f t="shared" ref="R34:R65" si="27">IF(OR($A34="",$B34=""),"",SUMIFS($H$2:$H$101,$B$2:$B$101,$B34,$A$2:$A$101,"&gt;="&amp;DATE(YEAR($A34)-1,1,1),$A$2:$A$101,"&lt;="&amp;EDATE($A34,-12)))</f>
        <v/>
      </c>
      <c r="S34" s="9" t="str">
        <f t="shared" ref="S34:S65" si="28">IF(OR($Q34="",$R34="",$R34=0),"",$Q34/$R34-1)</f>
        <v/>
      </c>
      <c r="T34" s="8" t="str">
        <f t="shared" ref="T34:T65" si="29">IF(OR($A34="",$B34=""),"",SUMIFS($I$2:$I$101,$B$2:$B$101,$B34,$A$2:$A$101,EDATE($A34,-1)))</f>
        <v/>
      </c>
      <c r="U34" s="9" t="str">
        <f t="shared" ref="U34:U65" si="30">IF(OR($I34="",$T34="",$T34=0),"",$I34/$T34-1)</f>
        <v/>
      </c>
      <c r="V34" s="8" t="str">
        <f t="shared" ref="V34:V65" si="31">IF(OR($A34="",$B34=""),"",SUMIFS($I$2:$I$101,$B$2:$B$101,$B34,$A$2:$A$101,EDATE($A34,-12)))</f>
        <v/>
      </c>
      <c r="W34" s="9" t="str">
        <f t="shared" ref="W34:W65" si="32">IF(OR($I34="",$V34="",$V34=0),"",$I34/$V34-1)</f>
        <v/>
      </c>
      <c r="X34" s="8" t="str">
        <f t="shared" ref="X34:X65" si="33">IF(OR($A34="",$B34=""),"",SUMIFS($I$2:$I$101,$B$2:$B$101,$B34,$A$2:$A$101,"&gt;="&amp;DATE(YEAR($A34),1,1),$A$2:$A$101,"&lt;="&amp;$A34))</f>
        <v/>
      </c>
      <c r="Y34" s="8" t="str">
        <f t="shared" ref="Y34:Y65" si="34">IF(OR($A34="",$B34=""),"",SUMIFS($I$2:$I$101,$B$2:$B$101,$B34,$A$2:$A$101,"&gt;="&amp;DATE(YEAR($A34)-1,1,1),$A$2:$A$101,"&lt;="&amp;EDATE($A34,-12)))</f>
        <v/>
      </c>
      <c r="Z34" s="9" t="str">
        <f t="shared" ref="Z34:Z65" si="35">IF(OR($X34="",$Y34="",$Y34=0),"",$X34/$Y34-1)</f>
        <v/>
      </c>
      <c r="AA34" s="8" t="str">
        <f t="shared" ref="AA34:AA65" si="36">IF(OR($A34="",$B34=""),"",SUMIFS($J$2:$J$101,$B$2:$B$101,$B34,$A$2:$A$101,EDATE($A34,-1)))</f>
        <v/>
      </c>
      <c r="AB34" s="9" t="str">
        <f t="shared" ref="AB34:AB65" si="37">IF(OR($J34="",$AA34="",$AA34=0),"",$J34/$AA34-1)</f>
        <v/>
      </c>
      <c r="AC34" s="8" t="str">
        <f t="shared" ref="AC34:AC65" si="38">IF(OR($A34="",$B34=""),"",SUMIFS($J$2:$J$101,$B$2:$B$101,$B34,$A$2:$A$101,EDATE($A34,-12)))</f>
        <v/>
      </c>
      <c r="AD34" s="9" t="str">
        <f t="shared" ref="AD34:AD65" si="39">IF(OR($J34="",$AC34="",$AC34=0),"",$J34/$AC34-1)</f>
        <v/>
      </c>
      <c r="AE34" s="8" t="str">
        <f t="shared" ref="AE34:AE65" si="40">IF(OR($A34="",$B34=""),"",SUMIFS($J$2:$J$101,$B$2:$B$101,$B34,$A$2:$A$101,"&gt;="&amp;DATE(YEAR($A34),1,1),$A$2:$A$101,"&lt;="&amp;$A34))</f>
        <v/>
      </c>
      <c r="AF34" s="8" t="str">
        <f t="shared" ref="AF34:AF65" si="41">IF(OR($A34="",$B34=""),"",SUMIFS($J$2:$J$101,$B$2:$B$101,$B34,$A$2:$A$101,"&gt;="&amp;DATE(YEAR($A34)-1,1,1),$A$2:$A$101,"&lt;="&amp;EDATE($A34,-12)))</f>
        <v/>
      </c>
      <c r="AG34" s="9" t="str">
        <f t="shared" ref="AG34:AG65" si="42">IF(OR($AE34="",$AF34="",$AF34=0),"",$AE34/$AF34-1)</f>
        <v/>
      </c>
      <c r="AH34" s="5" t="str">
        <f t="shared" ref="AH34:AH65" si="43">IF(OR($A34="",$B34=""),"",IF(OR($P34&lt;-10%,$W34&lt;-10%,$AD34&lt;-10%),"ĐỎ - Giảm &gt;10% so cùng kỳ",IF(OR($N34&lt;-10%,$U34&lt;-10%,$AB34&lt;-10%),"VÀNG - Giảm &gt;10% so tháng trước","BÌNH THƯỜNG")))</f>
        <v/>
      </c>
      <c r="AI34" s="12" t="str">
        <f>IFERROR(VLOOKUP($B34,DM_Doanh_nghiep!$A$2:$I$1501,9,FALSE),"")</f>
        <v/>
      </c>
    </row>
    <row r="35" spans="1:35">
      <c r="A35" s="3"/>
      <c r="B35" s="4"/>
      <c r="C35" s="5" t="str">
        <f>IFERROR(VLOOKUP($B35,DM_Doanh_nghiep!$A$2:$H$1001,2,FALSE),"")</f>
        <v/>
      </c>
      <c r="D35" s="5" t="str">
        <f>IFERROR(VLOOKUP($B35,DM_Doanh_nghiep!$A$2:$H$1001,4,FALSE),"")</f>
        <v/>
      </c>
      <c r="E35" s="5" t="str">
        <f>IFERROR(VLOOKUP($B35,DM_Doanh_nghiep!$A$2:$H$1001,5,FALSE),"")</f>
        <v/>
      </c>
      <c r="F35" s="6"/>
      <c r="G35" s="6"/>
      <c r="H35" s="7"/>
      <c r="I35" s="7"/>
      <c r="J35" s="7"/>
      <c r="K35" s="6"/>
      <c r="L35" s="6"/>
      <c r="M35" s="8" t="str">
        <f t="shared" si="22"/>
        <v/>
      </c>
      <c r="N35" s="9" t="str">
        <f t="shared" si="23"/>
        <v/>
      </c>
      <c r="O35" s="8" t="str">
        <f t="shared" si="24"/>
        <v/>
      </c>
      <c r="P35" s="9" t="str">
        <f t="shared" si="25"/>
        <v/>
      </c>
      <c r="Q35" s="8" t="str">
        <f t="shared" si="26"/>
        <v/>
      </c>
      <c r="R35" s="8" t="str">
        <f t="shared" si="27"/>
        <v/>
      </c>
      <c r="S35" s="9" t="str">
        <f t="shared" si="28"/>
        <v/>
      </c>
      <c r="T35" s="8" t="str">
        <f t="shared" si="29"/>
        <v/>
      </c>
      <c r="U35" s="9" t="str">
        <f t="shared" si="30"/>
        <v/>
      </c>
      <c r="V35" s="8" t="str">
        <f t="shared" si="31"/>
        <v/>
      </c>
      <c r="W35" s="9" t="str">
        <f t="shared" si="32"/>
        <v/>
      </c>
      <c r="X35" s="8" t="str">
        <f t="shared" si="33"/>
        <v/>
      </c>
      <c r="Y35" s="8" t="str">
        <f t="shared" si="34"/>
        <v/>
      </c>
      <c r="Z35" s="9" t="str">
        <f t="shared" si="35"/>
        <v/>
      </c>
      <c r="AA35" s="8" t="str">
        <f t="shared" si="36"/>
        <v/>
      </c>
      <c r="AB35" s="9" t="str">
        <f t="shared" si="37"/>
        <v/>
      </c>
      <c r="AC35" s="8" t="str">
        <f t="shared" si="38"/>
        <v/>
      </c>
      <c r="AD35" s="9" t="str">
        <f t="shared" si="39"/>
        <v/>
      </c>
      <c r="AE35" s="8" t="str">
        <f t="shared" si="40"/>
        <v/>
      </c>
      <c r="AF35" s="8" t="str">
        <f t="shared" si="41"/>
        <v/>
      </c>
      <c r="AG35" s="9" t="str">
        <f t="shared" si="42"/>
        <v/>
      </c>
      <c r="AH35" s="5" t="str">
        <f t="shared" si="43"/>
        <v/>
      </c>
      <c r="AI35" s="12" t="str">
        <f>IFERROR(VLOOKUP($B35,DM_Doanh_nghiep!$A$2:$I$1501,9,FALSE),"")</f>
        <v/>
      </c>
    </row>
    <row r="36" spans="1:35">
      <c r="A36" s="3"/>
      <c r="B36" s="4"/>
      <c r="C36" s="5" t="str">
        <f>IFERROR(VLOOKUP($B36,DM_Doanh_nghiep!$A$2:$H$1001,2,FALSE),"")</f>
        <v/>
      </c>
      <c r="D36" s="5" t="str">
        <f>IFERROR(VLOOKUP($B36,DM_Doanh_nghiep!$A$2:$H$1001,4,FALSE),"")</f>
        <v/>
      </c>
      <c r="E36" s="5" t="str">
        <f>IFERROR(VLOOKUP($B36,DM_Doanh_nghiep!$A$2:$H$1001,5,FALSE),"")</f>
        <v/>
      </c>
      <c r="F36" s="6"/>
      <c r="G36" s="6"/>
      <c r="H36" s="7"/>
      <c r="I36" s="7"/>
      <c r="J36" s="7"/>
      <c r="K36" s="6"/>
      <c r="L36" s="6"/>
      <c r="M36" s="8" t="str">
        <f t="shared" si="22"/>
        <v/>
      </c>
      <c r="N36" s="9" t="str">
        <f t="shared" si="23"/>
        <v/>
      </c>
      <c r="O36" s="8" t="str">
        <f t="shared" si="24"/>
        <v/>
      </c>
      <c r="P36" s="9" t="str">
        <f t="shared" si="25"/>
        <v/>
      </c>
      <c r="Q36" s="8" t="str">
        <f t="shared" si="26"/>
        <v/>
      </c>
      <c r="R36" s="8" t="str">
        <f t="shared" si="27"/>
        <v/>
      </c>
      <c r="S36" s="9" t="str">
        <f t="shared" si="28"/>
        <v/>
      </c>
      <c r="T36" s="8" t="str">
        <f t="shared" si="29"/>
        <v/>
      </c>
      <c r="U36" s="9" t="str">
        <f t="shared" si="30"/>
        <v/>
      </c>
      <c r="V36" s="8" t="str">
        <f t="shared" si="31"/>
        <v/>
      </c>
      <c r="W36" s="9" t="str">
        <f t="shared" si="32"/>
        <v/>
      </c>
      <c r="X36" s="8" t="str">
        <f t="shared" si="33"/>
        <v/>
      </c>
      <c r="Y36" s="8" t="str">
        <f t="shared" si="34"/>
        <v/>
      </c>
      <c r="Z36" s="9" t="str">
        <f t="shared" si="35"/>
        <v/>
      </c>
      <c r="AA36" s="8" t="str">
        <f t="shared" si="36"/>
        <v/>
      </c>
      <c r="AB36" s="9" t="str">
        <f t="shared" si="37"/>
        <v/>
      </c>
      <c r="AC36" s="8" t="str">
        <f t="shared" si="38"/>
        <v/>
      </c>
      <c r="AD36" s="9" t="str">
        <f t="shared" si="39"/>
        <v/>
      </c>
      <c r="AE36" s="8" t="str">
        <f t="shared" si="40"/>
        <v/>
      </c>
      <c r="AF36" s="8" t="str">
        <f t="shared" si="41"/>
        <v/>
      </c>
      <c r="AG36" s="9" t="str">
        <f t="shared" si="42"/>
        <v/>
      </c>
      <c r="AH36" s="5" t="str">
        <f t="shared" si="43"/>
        <v/>
      </c>
      <c r="AI36" s="12" t="str">
        <f>IFERROR(VLOOKUP($B36,DM_Doanh_nghiep!$A$2:$I$1501,9,FALSE),"")</f>
        <v/>
      </c>
    </row>
    <row r="37" spans="1:35">
      <c r="A37" s="3"/>
      <c r="B37" s="4"/>
      <c r="C37" s="5" t="str">
        <f>IFERROR(VLOOKUP($B37,DM_Doanh_nghiep!$A$2:$H$1001,2,FALSE),"")</f>
        <v/>
      </c>
      <c r="D37" s="5" t="str">
        <f>IFERROR(VLOOKUP($B37,DM_Doanh_nghiep!$A$2:$H$1001,4,FALSE),"")</f>
        <v/>
      </c>
      <c r="E37" s="5" t="str">
        <f>IFERROR(VLOOKUP($B37,DM_Doanh_nghiep!$A$2:$H$1001,5,FALSE),"")</f>
        <v/>
      </c>
      <c r="F37" s="6"/>
      <c r="G37" s="6"/>
      <c r="H37" s="7"/>
      <c r="I37" s="7"/>
      <c r="J37" s="7"/>
      <c r="K37" s="6"/>
      <c r="L37" s="6"/>
      <c r="M37" s="8" t="str">
        <f t="shared" si="22"/>
        <v/>
      </c>
      <c r="N37" s="9" t="str">
        <f t="shared" si="23"/>
        <v/>
      </c>
      <c r="O37" s="8" t="str">
        <f t="shared" si="24"/>
        <v/>
      </c>
      <c r="P37" s="9" t="str">
        <f t="shared" si="25"/>
        <v/>
      </c>
      <c r="Q37" s="8" t="str">
        <f t="shared" si="26"/>
        <v/>
      </c>
      <c r="R37" s="8" t="str">
        <f t="shared" si="27"/>
        <v/>
      </c>
      <c r="S37" s="9" t="str">
        <f t="shared" si="28"/>
        <v/>
      </c>
      <c r="T37" s="8" t="str">
        <f t="shared" si="29"/>
        <v/>
      </c>
      <c r="U37" s="9" t="str">
        <f t="shared" si="30"/>
        <v/>
      </c>
      <c r="V37" s="8" t="str">
        <f t="shared" si="31"/>
        <v/>
      </c>
      <c r="W37" s="9" t="str">
        <f t="shared" si="32"/>
        <v/>
      </c>
      <c r="X37" s="8" t="str">
        <f t="shared" si="33"/>
        <v/>
      </c>
      <c r="Y37" s="8" t="str">
        <f t="shared" si="34"/>
        <v/>
      </c>
      <c r="Z37" s="9" t="str">
        <f t="shared" si="35"/>
        <v/>
      </c>
      <c r="AA37" s="8" t="str">
        <f t="shared" si="36"/>
        <v/>
      </c>
      <c r="AB37" s="9" t="str">
        <f t="shared" si="37"/>
        <v/>
      </c>
      <c r="AC37" s="8" t="str">
        <f t="shared" si="38"/>
        <v/>
      </c>
      <c r="AD37" s="9" t="str">
        <f t="shared" si="39"/>
        <v/>
      </c>
      <c r="AE37" s="8" t="str">
        <f t="shared" si="40"/>
        <v/>
      </c>
      <c r="AF37" s="8" t="str">
        <f t="shared" si="41"/>
        <v/>
      </c>
      <c r="AG37" s="9" t="str">
        <f t="shared" si="42"/>
        <v/>
      </c>
      <c r="AH37" s="5" t="str">
        <f t="shared" si="43"/>
        <v/>
      </c>
      <c r="AI37" s="12" t="str">
        <f>IFERROR(VLOOKUP($B37,DM_Doanh_nghiep!$A$2:$I$1501,9,FALSE),"")</f>
        <v/>
      </c>
    </row>
    <row r="38" spans="1:35">
      <c r="A38" s="3"/>
      <c r="B38" s="4"/>
      <c r="C38" s="5" t="str">
        <f>IFERROR(VLOOKUP($B38,DM_Doanh_nghiep!$A$2:$H$1001,2,FALSE),"")</f>
        <v/>
      </c>
      <c r="D38" s="5" t="str">
        <f>IFERROR(VLOOKUP($B38,DM_Doanh_nghiep!$A$2:$H$1001,4,FALSE),"")</f>
        <v/>
      </c>
      <c r="E38" s="5" t="str">
        <f>IFERROR(VLOOKUP($B38,DM_Doanh_nghiep!$A$2:$H$1001,5,FALSE),"")</f>
        <v/>
      </c>
      <c r="F38" s="6"/>
      <c r="G38" s="6"/>
      <c r="H38" s="7"/>
      <c r="I38" s="7"/>
      <c r="J38" s="7"/>
      <c r="K38" s="6"/>
      <c r="L38" s="6"/>
      <c r="M38" s="8" t="str">
        <f t="shared" si="22"/>
        <v/>
      </c>
      <c r="N38" s="9" t="str">
        <f t="shared" si="23"/>
        <v/>
      </c>
      <c r="O38" s="8" t="str">
        <f t="shared" si="24"/>
        <v/>
      </c>
      <c r="P38" s="9" t="str">
        <f t="shared" si="25"/>
        <v/>
      </c>
      <c r="Q38" s="8" t="str">
        <f t="shared" si="26"/>
        <v/>
      </c>
      <c r="R38" s="8" t="str">
        <f t="shared" si="27"/>
        <v/>
      </c>
      <c r="S38" s="9" t="str">
        <f t="shared" si="28"/>
        <v/>
      </c>
      <c r="T38" s="8" t="str">
        <f t="shared" si="29"/>
        <v/>
      </c>
      <c r="U38" s="9" t="str">
        <f t="shared" si="30"/>
        <v/>
      </c>
      <c r="V38" s="8" t="str">
        <f t="shared" si="31"/>
        <v/>
      </c>
      <c r="W38" s="9" t="str">
        <f t="shared" si="32"/>
        <v/>
      </c>
      <c r="X38" s="8" t="str">
        <f t="shared" si="33"/>
        <v/>
      </c>
      <c r="Y38" s="8" t="str">
        <f t="shared" si="34"/>
        <v/>
      </c>
      <c r="Z38" s="9" t="str">
        <f t="shared" si="35"/>
        <v/>
      </c>
      <c r="AA38" s="8" t="str">
        <f t="shared" si="36"/>
        <v/>
      </c>
      <c r="AB38" s="9" t="str">
        <f t="shared" si="37"/>
        <v/>
      </c>
      <c r="AC38" s="8" t="str">
        <f t="shared" si="38"/>
        <v/>
      </c>
      <c r="AD38" s="9" t="str">
        <f t="shared" si="39"/>
        <v/>
      </c>
      <c r="AE38" s="8" t="str">
        <f t="shared" si="40"/>
        <v/>
      </c>
      <c r="AF38" s="8" t="str">
        <f t="shared" si="41"/>
        <v/>
      </c>
      <c r="AG38" s="9" t="str">
        <f t="shared" si="42"/>
        <v/>
      </c>
      <c r="AH38" s="5" t="str">
        <f t="shared" si="43"/>
        <v/>
      </c>
      <c r="AI38" s="12" t="str">
        <f>IFERROR(VLOOKUP($B38,DM_Doanh_nghiep!$A$2:$I$1501,9,FALSE),"")</f>
        <v/>
      </c>
    </row>
    <row r="39" spans="1:35">
      <c r="A39" s="3"/>
      <c r="B39" s="4"/>
      <c r="C39" s="5" t="str">
        <f>IFERROR(VLOOKUP($B39,DM_Doanh_nghiep!$A$2:$H$1001,2,FALSE),"")</f>
        <v/>
      </c>
      <c r="D39" s="5" t="str">
        <f>IFERROR(VLOOKUP($B39,DM_Doanh_nghiep!$A$2:$H$1001,4,FALSE),"")</f>
        <v/>
      </c>
      <c r="E39" s="5" t="str">
        <f>IFERROR(VLOOKUP($B39,DM_Doanh_nghiep!$A$2:$H$1001,5,FALSE),"")</f>
        <v/>
      </c>
      <c r="F39" s="6"/>
      <c r="G39" s="6"/>
      <c r="H39" s="7"/>
      <c r="I39" s="7"/>
      <c r="J39" s="7"/>
      <c r="K39" s="6"/>
      <c r="L39" s="6"/>
      <c r="M39" s="8" t="str">
        <f t="shared" si="22"/>
        <v/>
      </c>
      <c r="N39" s="9" t="str">
        <f t="shared" si="23"/>
        <v/>
      </c>
      <c r="O39" s="8" t="str">
        <f t="shared" si="24"/>
        <v/>
      </c>
      <c r="P39" s="9" t="str">
        <f t="shared" si="25"/>
        <v/>
      </c>
      <c r="Q39" s="8" t="str">
        <f t="shared" si="26"/>
        <v/>
      </c>
      <c r="R39" s="8" t="str">
        <f t="shared" si="27"/>
        <v/>
      </c>
      <c r="S39" s="9" t="str">
        <f t="shared" si="28"/>
        <v/>
      </c>
      <c r="T39" s="8" t="str">
        <f t="shared" si="29"/>
        <v/>
      </c>
      <c r="U39" s="9" t="str">
        <f t="shared" si="30"/>
        <v/>
      </c>
      <c r="V39" s="8" t="str">
        <f t="shared" si="31"/>
        <v/>
      </c>
      <c r="W39" s="9" t="str">
        <f t="shared" si="32"/>
        <v/>
      </c>
      <c r="X39" s="8" t="str">
        <f t="shared" si="33"/>
        <v/>
      </c>
      <c r="Y39" s="8" t="str">
        <f t="shared" si="34"/>
        <v/>
      </c>
      <c r="Z39" s="9" t="str">
        <f t="shared" si="35"/>
        <v/>
      </c>
      <c r="AA39" s="8" t="str">
        <f t="shared" si="36"/>
        <v/>
      </c>
      <c r="AB39" s="9" t="str">
        <f t="shared" si="37"/>
        <v/>
      </c>
      <c r="AC39" s="8" t="str">
        <f t="shared" si="38"/>
        <v/>
      </c>
      <c r="AD39" s="9" t="str">
        <f t="shared" si="39"/>
        <v/>
      </c>
      <c r="AE39" s="8" t="str">
        <f t="shared" si="40"/>
        <v/>
      </c>
      <c r="AF39" s="8" t="str">
        <f t="shared" si="41"/>
        <v/>
      </c>
      <c r="AG39" s="9" t="str">
        <f t="shared" si="42"/>
        <v/>
      </c>
      <c r="AH39" s="5" t="str">
        <f t="shared" si="43"/>
        <v/>
      </c>
      <c r="AI39" s="12" t="str">
        <f>IFERROR(VLOOKUP($B39,DM_Doanh_nghiep!$A$2:$I$1501,9,FALSE),"")</f>
        <v/>
      </c>
    </row>
    <row r="40" spans="1:35">
      <c r="A40" s="3"/>
      <c r="B40" s="4"/>
      <c r="C40" s="5" t="str">
        <f>IFERROR(VLOOKUP($B40,DM_Doanh_nghiep!$A$2:$H$1001,2,FALSE),"")</f>
        <v/>
      </c>
      <c r="D40" s="5" t="str">
        <f>IFERROR(VLOOKUP($B40,DM_Doanh_nghiep!$A$2:$H$1001,4,FALSE),"")</f>
        <v/>
      </c>
      <c r="E40" s="5" t="str">
        <f>IFERROR(VLOOKUP($B40,DM_Doanh_nghiep!$A$2:$H$1001,5,FALSE),"")</f>
        <v/>
      </c>
      <c r="F40" s="6"/>
      <c r="G40" s="6"/>
      <c r="H40" s="7"/>
      <c r="I40" s="7"/>
      <c r="J40" s="7"/>
      <c r="K40" s="6"/>
      <c r="L40" s="6"/>
      <c r="M40" s="8" t="str">
        <f t="shared" si="22"/>
        <v/>
      </c>
      <c r="N40" s="9" t="str">
        <f t="shared" si="23"/>
        <v/>
      </c>
      <c r="O40" s="8" t="str">
        <f t="shared" si="24"/>
        <v/>
      </c>
      <c r="P40" s="9" t="str">
        <f t="shared" si="25"/>
        <v/>
      </c>
      <c r="Q40" s="8" t="str">
        <f t="shared" si="26"/>
        <v/>
      </c>
      <c r="R40" s="8" t="str">
        <f t="shared" si="27"/>
        <v/>
      </c>
      <c r="S40" s="9" t="str">
        <f t="shared" si="28"/>
        <v/>
      </c>
      <c r="T40" s="8" t="str">
        <f t="shared" si="29"/>
        <v/>
      </c>
      <c r="U40" s="9" t="str">
        <f t="shared" si="30"/>
        <v/>
      </c>
      <c r="V40" s="8" t="str">
        <f t="shared" si="31"/>
        <v/>
      </c>
      <c r="W40" s="9" t="str">
        <f t="shared" si="32"/>
        <v/>
      </c>
      <c r="X40" s="8" t="str">
        <f t="shared" si="33"/>
        <v/>
      </c>
      <c r="Y40" s="8" t="str">
        <f t="shared" si="34"/>
        <v/>
      </c>
      <c r="Z40" s="9" t="str">
        <f t="shared" si="35"/>
        <v/>
      </c>
      <c r="AA40" s="8" t="str">
        <f t="shared" si="36"/>
        <v/>
      </c>
      <c r="AB40" s="9" t="str">
        <f t="shared" si="37"/>
        <v/>
      </c>
      <c r="AC40" s="8" t="str">
        <f t="shared" si="38"/>
        <v/>
      </c>
      <c r="AD40" s="9" t="str">
        <f t="shared" si="39"/>
        <v/>
      </c>
      <c r="AE40" s="8" t="str">
        <f t="shared" si="40"/>
        <v/>
      </c>
      <c r="AF40" s="8" t="str">
        <f t="shared" si="41"/>
        <v/>
      </c>
      <c r="AG40" s="9" t="str">
        <f t="shared" si="42"/>
        <v/>
      </c>
      <c r="AH40" s="5" t="str">
        <f t="shared" si="43"/>
        <v/>
      </c>
      <c r="AI40" s="12" t="str">
        <f>IFERROR(VLOOKUP($B40,DM_Doanh_nghiep!$A$2:$I$1501,9,FALSE),"")</f>
        <v/>
      </c>
    </row>
    <row r="41" spans="1:35">
      <c r="A41" s="3"/>
      <c r="B41" s="4"/>
      <c r="C41" s="5" t="str">
        <f>IFERROR(VLOOKUP($B41,DM_Doanh_nghiep!$A$2:$H$1001,2,FALSE),"")</f>
        <v/>
      </c>
      <c r="D41" s="5" t="str">
        <f>IFERROR(VLOOKUP($B41,DM_Doanh_nghiep!$A$2:$H$1001,4,FALSE),"")</f>
        <v/>
      </c>
      <c r="E41" s="5" t="str">
        <f>IFERROR(VLOOKUP($B41,DM_Doanh_nghiep!$A$2:$H$1001,5,FALSE),"")</f>
        <v/>
      </c>
      <c r="F41" s="6"/>
      <c r="G41" s="6"/>
      <c r="H41" s="7"/>
      <c r="I41" s="7"/>
      <c r="J41" s="7"/>
      <c r="K41" s="6"/>
      <c r="L41" s="6"/>
      <c r="M41" s="8" t="str">
        <f t="shared" si="22"/>
        <v/>
      </c>
      <c r="N41" s="9" t="str">
        <f t="shared" si="23"/>
        <v/>
      </c>
      <c r="O41" s="8" t="str">
        <f t="shared" si="24"/>
        <v/>
      </c>
      <c r="P41" s="9" t="str">
        <f t="shared" si="25"/>
        <v/>
      </c>
      <c r="Q41" s="8" t="str">
        <f t="shared" si="26"/>
        <v/>
      </c>
      <c r="R41" s="8" t="str">
        <f t="shared" si="27"/>
        <v/>
      </c>
      <c r="S41" s="9" t="str">
        <f t="shared" si="28"/>
        <v/>
      </c>
      <c r="T41" s="8" t="str">
        <f t="shared" si="29"/>
        <v/>
      </c>
      <c r="U41" s="9" t="str">
        <f t="shared" si="30"/>
        <v/>
      </c>
      <c r="V41" s="8" t="str">
        <f t="shared" si="31"/>
        <v/>
      </c>
      <c r="W41" s="9" t="str">
        <f t="shared" si="32"/>
        <v/>
      </c>
      <c r="X41" s="8" t="str">
        <f t="shared" si="33"/>
        <v/>
      </c>
      <c r="Y41" s="8" t="str">
        <f t="shared" si="34"/>
        <v/>
      </c>
      <c r="Z41" s="9" t="str">
        <f t="shared" si="35"/>
        <v/>
      </c>
      <c r="AA41" s="8" t="str">
        <f t="shared" si="36"/>
        <v/>
      </c>
      <c r="AB41" s="9" t="str">
        <f t="shared" si="37"/>
        <v/>
      </c>
      <c r="AC41" s="8" t="str">
        <f t="shared" si="38"/>
        <v/>
      </c>
      <c r="AD41" s="9" t="str">
        <f t="shared" si="39"/>
        <v/>
      </c>
      <c r="AE41" s="8" t="str">
        <f t="shared" si="40"/>
        <v/>
      </c>
      <c r="AF41" s="8" t="str">
        <f t="shared" si="41"/>
        <v/>
      </c>
      <c r="AG41" s="9" t="str">
        <f t="shared" si="42"/>
        <v/>
      </c>
      <c r="AH41" s="5" t="str">
        <f t="shared" si="43"/>
        <v/>
      </c>
      <c r="AI41" s="12" t="str">
        <f>IFERROR(VLOOKUP($B41,DM_Doanh_nghiep!$A$2:$I$1501,9,FALSE),"")</f>
        <v/>
      </c>
    </row>
    <row r="42" spans="1:35">
      <c r="A42" s="3"/>
      <c r="B42" s="4"/>
      <c r="C42" s="5" t="str">
        <f>IFERROR(VLOOKUP($B42,DM_Doanh_nghiep!$A$2:$H$1001,2,FALSE),"")</f>
        <v/>
      </c>
      <c r="D42" s="5" t="str">
        <f>IFERROR(VLOOKUP($B42,DM_Doanh_nghiep!$A$2:$H$1001,4,FALSE),"")</f>
        <v/>
      </c>
      <c r="E42" s="5" t="str">
        <f>IFERROR(VLOOKUP($B42,DM_Doanh_nghiep!$A$2:$H$1001,5,FALSE),"")</f>
        <v/>
      </c>
      <c r="F42" s="6"/>
      <c r="G42" s="6"/>
      <c r="H42" s="7"/>
      <c r="I42" s="7"/>
      <c r="J42" s="7"/>
      <c r="K42" s="6"/>
      <c r="L42" s="6"/>
      <c r="M42" s="8" t="str">
        <f t="shared" si="22"/>
        <v/>
      </c>
      <c r="N42" s="9" t="str">
        <f t="shared" si="23"/>
        <v/>
      </c>
      <c r="O42" s="8" t="str">
        <f t="shared" si="24"/>
        <v/>
      </c>
      <c r="P42" s="9" t="str">
        <f t="shared" si="25"/>
        <v/>
      </c>
      <c r="Q42" s="8" t="str">
        <f t="shared" si="26"/>
        <v/>
      </c>
      <c r="R42" s="8" t="str">
        <f t="shared" si="27"/>
        <v/>
      </c>
      <c r="S42" s="9" t="str">
        <f t="shared" si="28"/>
        <v/>
      </c>
      <c r="T42" s="8" t="str">
        <f t="shared" si="29"/>
        <v/>
      </c>
      <c r="U42" s="9" t="str">
        <f t="shared" si="30"/>
        <v/>
      </c>
      <c r="V42" s="8" t="str">
        <f t="shared" si="31"/>
        <v/>
      </c>
      <c r="W42" s="9" t="str">
        <f t="shared" si="32"/>
        <v/>
      </c>
      <c r="X42" s="8" t="str">
        <f t="shared" si="33"/>
        <v/>
      </c>
      <c r="Y42" s="8" t="str">
        <f t="shared" si="34"/>
        <v/>
      </c>
      <c r="Z42" s="9" t="str">
        <f t="shared" si="35"/>
        <v/>
      </c>
      <c r="AA42" s="8" t="str">
        <f t="shared" si="36"/>
        <v/>
      </c>
      <c r="AB42" s="9" t="str">
        <f t="shared" si="37"/>
        <v/>
      </c>
      <c r="AC42" s="8" t="str">
        <f t="shared" si="38"/>
        <v/>
      </c>
      <c r="AD42" s="9" t="str">
        <f t="shared" si="39"/>
        <v/>
      </c>
      <c r="AE42" s="8" t="str">
        <f t="shared" si="40"/>
        <v/>
      </c>
      <c r="AF42" s="8" t="str">
        <f t="shared" si="41"/>
        <v/>
      </c>
      <c r="AG42" s="9" t="str">
        <f t="shared" si="42"/>
        <v/>
      </c>
      <c r="AH42" s="5" t="str">
        <f t="shared" si="43"/>
        <v/>
      </c>
      <c r="AI42" s="12" t="str">
        <f>IFERROR(VLOOKUP($B42,DM_Doanh_nghiep!$A$2:$I$1501,9,FALSE),"")</f>
        <v/>
      </c>
    </row>
    <row r="43" spans="1:35">
      <c r="A43" s="3"/>
      <c r="B43" s="4"/>
      <c r="C43" s="5" t="str">
        <f>IFERROR(VLOOKUP($B43,DM_Doanh_nghiep!$A$2:$H$1001,2,FALSE),"")</f>
        <v/>
      </c>
      <c r="D43" s="5" t="str">
        <f>IFERROR(VLOOKUP($B43,DM_Doanh_nghiep!$A$2:$H$1001,4,FALSE),"")</f>
        <v/>
      </c>
      <c r="E43" s="5" t="str">
        <f>IFERROR(VLOOKUP($B43,DM_Doanh_nghiep!$A$2:$H$1001,5,FALSE),"")</f>
        <v/>
      </c>
      <c r="F43" s="6"/>
      <c r="G43" s="6"/>
      <c r="H43" s="7"/>
      <c r="I43" s="7"/>
      <c r="J43" s="7"/>
      <c r="K43" s="6"/>
      <c r="L43" s="6"/>
      <c r="M43" s="8" t="str">
        <f t="shared" si="22"/>
        <v/>
      </c>
      <c r="N43" s="9" t="str">
        <f t="shared" si="23"/>
        <v/>
      </c>
      <c r="O43" s="8" t="str">
        <f t="shared" si="24"/>
        <v/>
      </c>
      <c r="P43" s="9" t="str">
        <f t="shared" si="25"/>
        <v/>
      </c>
      <c r="Q43" s="8" t="str">
        <f t="shared" si="26"/>
        <v/>
      </c>
      <c r="R43" s="8" t="str">
        <f t="shared" si="27"/>
        <v/>
      </c>
      <c r="S43" s="9" t="str">
        <f t="shared" si="28"/>
        <v/>
      </c>
      <c r="T43" s="8" t="str">
        <f t="shared" si="29"/>
        <v/>
      </c>
      <c r="U43" s="9" t="str">
        <f t="shared" si="30"/>
        <v/>
      </c>
      <c r="V43" s="8" t="str">
        <f t="shared" si="31"/>
        <v/>
      </c>
      <c r="W43" s="9" t="str">
        <f t="shared" si="32"/>
        <v/>
      </c>
      <c r="X43" s="8" t="str">
        <f t="shared" si="33"/>
        <v/>
      </c>
      <c r="Y43" s="8" t="str">
        <f t="shared" si="34"/>
        <v/>
      </c>
      <c r="Z43" s="9" t="str">
        <f t="shared" si="35"/>
        <v/>
      </c>
      <c r="AA43" s="8" t="str">
        <f t="shared" si="36"/>
        <v/>
      </c>
      <c r="AB43" s="9" t="str">
        <f t="shared" si="37"/>
        <v/>
      </c>
      <c r="AC43" s="8" t="str">
        <f t="shared" si="38"/>
        <v/>
      </c>
      <c r="AD43" s="9" t="str">
        <f t="shared" si="39"/>
        <v/>
      </c>
      <c r="AE43" s="8" t="str">
        <f t="shared" si="40"/>
        <v/>
      </c>
      <c r="AF43" s="8" t="str">
        <f t="shared" si="41"/>
        <v/>
      </c>
      <c r="AG43" s="9" t="str">
        <f t="shared" si="42"/>
        <v/>
      </c>
      <c r="AH43" s="5" t="str">
        <f t="shared" si="43"/>
        <v/>
      </c>
      <c r="AI43" s="12" t="str">
        <f>IFERROR(VLOOKUP($B43,DM_Doanh_nghiep!$A$2:$I$1501,9,FALSE),"")</f>
        <v/>
      </c>
    </row>
    <row r="44" spans="1:35">
      <c r="A44" s="3"/>
      <c r="B44" s="4"/>
      <c r="C44" s="5" t="str">
        <f>IFERROR(VLOOKUP($B44,DM_Doanh_nghiep!$A$2:$H$1001,2,FALSE),"")</f>
        <v/>
      </c>
      <c r="D44" s="5" t="str">
        <f>IFERROR(VLOOKUP($B44,DM_Doanh_nghiep!$A$2:$H$1001,4,FALSE),"")</f>
        <v/>
      </c>
      <c r="E44" s="5" t="str">
        <f>IFERROR(VLOOKUP($B44,DM_Doanh_nghiep!$A$2:$H$1001,5,FALSE),"")</f>
        <v/>
      </c>
      <c r="F44" s="6"/>
      <c r="G44" s="6"/>
      <c r="H44" s="7"/>
      <c r="I44" s="7"/>
      <c r="J44" s="7"/>
      <c r="K44" s="6"/>
      <c r="L44" s="6"/>
      <c r="M44" s="8" t="str">
        <f t="shared" si="22"/>
        <v/>
      </c>
      <c r="N44" s="9" t="str">
        <f t="shared" si="23"/>
        <v/>
      </c>
      <c r="O44" s="8" t="str">
        <f t="shared" si="24"/>
        <v/>
      </c>
      <c r="P44" s="9" t="str">
        <f t="shared" si="25"/>
        <v/>
      </c>
      <c r="Q44" s="8" t="str">
        <f t="shared" si="26"/>
        <v/>
      </c>
      <c r="R44" s="8" t="str">
        <f t="shared" si="27"/>
        <v/>
      </c>
      <c r="S44" s="9" t="str">
        <f t="shared" si="28"/>
        <v/>
      </c>
      <c r="T44" s="8" t="str">
        <f t="shared" si="29"/>
        <v/>
      </c>
      <c r="U44" s="9" t="str">
        <f t="shared" si="30"/>
        <v/>
      </c>
      <c r="V44" s="8" t="str">
        <f t="shared" si="31"/>
        <v/>
      </c>
      <c r="W44" s="9" t="str">
        <f t="shared" si="32"/>
        <v/>
      </c>
      <c r="X44" s="8" t="str">
        <f t="shared" si="33"/>
        <v/>
      </c>
      <c r="Y44" s="8" t="str">
        <f t="shared" si="34"/>
        <v/>
      </c>
      <c r="Z44" s="9" t="str">
        <f t="shared" si="35"/>
        <v/>
      </c>
      <c r="AA44" s="8" t="str">
        <f t="shared" si="36"/>
        <v/>
      </c>
      <c r="AB44" s="9" t="str">
        <f t="shared" si="37"/>
        <v/>
      </c>
      <c r="AC44" s="8" t="str">
        <f t="shared" si="38"/>
        <v/>
      </c>
      <c r="AD44" s="9" t="str">
        <f t="shared" si="39"/>
        <v/>
      </c>
      <c r="AE44" s="8" t="str">
        <f t="shared" si="40"/>
        <v/>
      </c>
      <c r="AF44" s="8" t="str">
        <f t="shared" si="41"/>
        <v/>
      </c>
      <c r="AG44" s="9" t="str">
        <f t="shared" si="42"/>
        <v/>
      </c>
      <c r="AH44" s="5" t="str">
        <f t="shared" si="43"/>
        <v/>
      </c>
      <c r="AI44" s="12" t="str">
        <f>IFERROR(VLOOKUP($B44,DM_Doanh_nghiep!$A$2:$I$1501,9,FALSE),"")</f>
        <v/>
      </c>
    </row>
    <row r="45" spans="1:35">
      <c r="A45" s="3"/>
      <c r="B45" s="4"/>
      <c r="C45" s="5" t="str">
        <f>IFERROR(VLOOKUP($B45,DM_Doanh_nghiep!$A$2:$H$1001,2,FALSE),"")</f>
        <v/>
      </c>
      <c r="D45" s="5" t="str">
        <f>IFERROR(VLOOKUP($B45,DM_Doanh_nghiep!$A$2:$H$1001,4,FALSE),"")</f>
        <v/>
      </c>
      <c r="E45" s="5" t="str">
        <f>IFERROR(VLOOKUP($B45,DM_Doanh_nghiep!$A$2:$H$1001,5,FALSE),"")</f>
        <v/>
      </c>
      <c r="F45" s="6"/>
      <c r="G45" s="6"/>
      <c r="H45" s="7"/>
      <c r="I45" s="7"/>
      <c r="J45" s="7"/>
      <c r="K45" s="6"/>
      <c r="L45" s="6"/>
      <c r="M45" s="8" t="str">
        <f t="shared" si="22"/>
        <v/>
      </c>
      <c r="N45" s="9" t="str">
        <f t="shared" si="23"/>
        <v/>
      </c>
      <c r="O45" s="8" t="str">
        <f t="shared" si="24"/>
        <v/>
      </c>
      <c r="P45" s="9" t="str">
        <f t="shared" si="25"/>
        <v/>
      </c>
      <c r="Q45" s="8" t="str">
        <f t="shared" si="26"/>
        <v/>
      </c>
      <c r="R45" s="8" t="str">
        <f t="shared" si="27"/>
        <v/>
      </c>
      <c r="S45" s="9" t="str">
        <f t="shared" si="28"/>
        <v/>
      </c>
      <c r="T45" s="8" t="str">
        <f t="shared" si="29"/>
        <v/>
      </c>
      <c r="U45" s="9" t="str">
        <f t="shared" si="30"/>
        <v/>
      </c>
      <c r="V45" s="8" t="str">
        <f t="shared" si="31"/>
        <v/>
      </c>
      <c r="W45" s="9" t="str">
        <f t="shared" si="32"/>
        <v/>
      </c>
      <c r="X45" s="8" t="str">
        <f t="shared" si="33"/>
        <v/>
      </c>
      <c r="Y45" s="8" t="str">
        <f t="shared" si="34"/>
        <v/>
      </c>
      <c r="Z45" s="9" t="str">
        <f t="shared" si="35"/>
        <v/>
      </c>
      <c r="AA45" s="8" t="str">
        <f t="shared" si="36"/>
        <v/>
      </c>
      <c r="AB45" s="9" t="str">
        <f t="shared" si="37"/>
        <v/>
      </c>
      <c r="AC45" s="8" t="str">
        <f t="shared" si="38"/>
        <v/>
      </c>
      <c r="AD45" s="9" t="str">
        <f t="shared" si="39"/>
        <v/>
      </c>
      <c r="AE45" s="8" t="str">
        <f t="shared" si="40"/>
        <v/>
      </c>
      <c r="AF45" s="8" t="str">
        <f t="shared" si="41"/>
        <v/>
      </c>
      <c r="AG45" s="9" t="str">
        <f t="shared" si="42"/>
        <v/>
      </c>
      <c r="AH45" s="5" t="str">
        <f t="shared" si="43"/>
        <v/>
      </c>
      <c r="AI45" s="12" t="str">
        <f>IFERROR(VLOOKUP($B45,DM_Doanh_nghiep!$A$2:$I$1501,9,FALSE),"")</f>
        <v/>
      </c>
    </row>
    <row r="46" spans="1:35">
      <c r="A46" s="3"/>
      <c r="B46" s="4"/>
      <c r="C46" s="5" t="str">
        <f>IFERROR(VLOOKUP($B46,DM_Doanh_nghiep!$A$2:$H$1001,2,FALSE),"")</f>
        <v/>
      </c>
      <c r="D46" s="5" t="str">
        <f>IFERROR(VLOOKUP($B46,DM_Doanh_nghiep!$A$2:$H$1001,4,FALSE),"")</f>
        <v/>
      </c>
      <c r="E46" s="5" t="str">
        <f>IFERROR(VLOOKUP($B46,DM_Doanh_nghiep!$A$2:$H$1001,5,FALSE),"")</f>
        <v/>
      </c>
      <c r="F46" s="6"/>
      <c r="G46" s="6"/>
      <c r="H46" s="7"/>
      <c r="I46" s="7"/>
      <c r="J46" s="7"/>
      <c r="K46" s="6"/>
      <c r="L46" s="6"/>
      <c r="M46" s="8" t="str">
        <f t="shared" si="22"/>
        <v/>
      </c>
      <c r="N46" s="9" t="str">
        <f t="shared" si="23"/>
        <v/>
      </c>
      <c r="O46" s="8" t="str">
        <f t="shared" si="24"/>
        <v/>
      </c>
      <c r="P46" s="9" t="str">
        <f t="shared" si="25"/>
        <v/>
      </c>
      <c r="Q46" s="8" t="str">
        <f t="shared" si="26"/>
        <v/>
      </c>
      <c r="R46" s="8" t="str">
        <f t="shared" si="27"/>
        <v/>
      </c>
      <c r="S46" s="9" t="str">
        <f t="shared" si="28"/>
        <v/>
      </c>
      <c r="T46" s="8" t="str">
        <f t="shared" si="29"/>
        <v/>
      </c>
      <c r="U46" s="9" t="str">
        <f t="shared" si="30"/>
        <v/>
      </c>
      <c r="V46" s="8" t="str">
        <f t="shared" si="31"/>
        <v/>
      </c>
      <c r="W46" s="9" t="str">
        <f t="shared" si="32"/>
        <v/>
      </c>
      <c r="X46" s="8" t="str">
        <f t="shared" si="33"/>
        <v/>
      </c>
      <c r="Y46" s="8" t="str">
        <f t="shared" si="34"/>
        <v/>
      </c>
      <c r="Z46" s="9" t="str">
        <f t="shared" si="35"/>
        <v/>
      </c>
      <c r="AA46" s="8" t="str">
        <f t="shared" si="36"/>
        <v/>
      </c>
      <c r="AB46" s="9" t="str">
        <f t="shared" si="37"/>
        <v/>
      </c>
      <c r="AC46" s="8" t="str">
        <f t="shared" si="38"/>
        <v/>
      </c>
      <c r="AD46" s="9" t="str">
        <f t="shared" si="39"/>
        <v/>
      </c>
      <c r="AE46" s="8" t="str">
        <f t="shared" si="40"/>
        <v/>
      </c>
      <c r="AF46" s="8" t="str">
        <f t="shared" si="41"/>
        <v/>
      </c>
      <c r="AG46" s="9" t="str">
        <f t="shared" si="42"/>
        <v/>
      </c>
      <c r="AH46" s="5" t="str">
        <f t="shared" si="43"/>
        <v/>
      </c>
      <c r="AI46" s="12" t="str">
        <f>IFERROR(VLOOKUP($B46,DM_Doanh_nghiep!$A$2:$I$1501,9,FALSE),"")</f>
        <v/>
      </c>
    </row>
    <row r="47" spans="1:35">
      <c r="A47" s="3"/>
      <c r="B47" s="4"/>
      <c r="C47" s="5" t="str">
        <f>IFERROR(VLOOKUP($B47,DM_Doanh_nghiep!$A$2:$H$1001,2,FALSE),"")</f>
        <v/>
      </c>
      <c r="D47" s="5" t="str">
        <f>IFERROR(VLOOKUP($B47,DM_Doanh_nghiep!$A$2:$H$1001,4,FALSE),"")</f>
        <v/>
      </c>
      <c r="E47" s="5" t="str">
        <f>IFERROR(VLOOKUP($B47,DM_Doanh_nghiep!$A$2:$H$1001,5,FALSE),"")</f>
        <v/>
      </c>
      <c r="F47" s="6"/>
      <c r="G47" s="6"/>
      <c r="H47" s="7"/>
      <c r="I47" s="7"/>
      <c r="J47" s="7"/>
      <c r="K47" s="6"/>
      <c r="L47" s="6"/>
      <c r="M47" s="8" t="str">
        <f t="shared" si="22"/>
        <v/>
      </c>
      <c r="N47" s="9" t="str">
        <f t="shared" si="23"/>
        <v/>
      </c>
      <c r="O47" s="8" t="str">
        <f t="shared" si="24"/>
        <v/>
      </c>
      <c r="P47" s="9" t="str">
        <f t="shared" si="25"/>
        <v/>
      </c>
      <c r="Q47" s="8" t="str">
        <f t="shared" si="26"/>
        <v/>
      </c>
      <c r="R47" s="8" t="str">
        <f t="shared" si="27"/>
        <v/>
      </c>
      <c r="S47" s="9" t="str">
        <f t="shared" si="28"/>
        <v/>
      </c>
      <c r="T47" s="8" t="str">
        <f t="shared" si="29"/>
        <v/>
      </c>
      <c r="U47" s="9" t="str">
        <f t="shared" si="30"/>
        <v/>
      </c>
      <c r="V47" s="8" t="str">
        <f t="shared" si="31"/>
        <v/>
      </c>
      <c r="W47" s="9" t="str">
        <f t="shared" si="32"/>
        <v/>
      </c>
      <c r="X47" s="8" t="str">
        <f t="shared" si="33"/>
        <v/>
      </c>
      <c r="Y47" s="8" t="str">
        <f t="shared" si="34"/>
        <v/>
      </c>
      <c r="Z47" s="9" t="str">
        <f t="shared" si="35"/>
        <v/>
      </c>
      <c r="AA47" s="8" t="str">
        <f t="shared" si="36"/>
        <v/>
      </c>
      <c r="AB47" s="9" t="str">
        <f t="shared" si="37"/>
        <v/>
      </c>
      <c r="AC47" s="8" t="str">
        <f t="shared" si="38"/>
        <v/>
      </c>
      <c r="AD47" s="9" t="str">
        <f t="shared" si="39"/>
        <v/>
      </c>
      <c r="AE47" s="8" t="str">
        <f t="shared" si="40"/>
        <v/>
      </c>
      <c r="AF47" s="8" t="str">
        <f t="shared" si="41"/>
        <v/>
      </c>
      <c r="AG47" s="9" t="str">
        <f t="shared" si="42"/>
        <v/>
      </c>
      <c r="AH47" s="5" t="str">
        <f t="shared" si="43"/>
        <v/>
      </c>
      <c r="AI47" s="12" t="str">
        <f>IFERROR(VLOOKUP($B47,DM_Doanh_nghiep!$A$2:$I$1501,9,FALSE),"")</f>
        <v/>
      </c>
    </row>
    <row r="48" spans="1:35">
      <c r="A48" s="3"/>
      <c r="B48" s="4"/>
      <c r="C48" s="5" t="str">
        <f>IFERROR(VLOOKUP($B48,DM_Doanh_nghiep!$A$2:$H$1001,2,FALSE),"")</f>
        <v/>
      </c>
      <c r="D48" s="5" t="str">
        <f>IFERROR(VLOOKUP($B48,DM_Doanh_nghiep!$A$2:$H$1001,4,FALSE),"")</f>
        <v/>
      </c>
      <c r="E48" s="5" t="str">
        <f>IFERROR(VLOOKUP($B48,DM_Doanh_nghiep!$A$2:$H$1001,5,FALSE),"")</f>
        <v/>
      </c>
      <c r="F48" s="6"/>
      <c r="G48" s="6"/>
      <c r="H48" s="7"/>
      <c r="I48" s="7"/>
      <c r="J48" s="7"/>
      <c r="K48" s="6"/>
      <c r="L48" s="6"/>
      <c r="M48" s="8" t="str">
        <f t="shared" si="22"/>
        <v/>
      </c>
      <c r="N48" s="9" t="str">
        <f t="shared" si="23"/>
        <v/>
      </c>
      <c r="O48" s="8" t="str">
        <f t="shared" si="24"/>
        <v/>
      </c>
      <c r="P48" s="9" t="str">
        <f t="shared" si="25"/>
        <v/>
      </c>
      <c r="Q48" s="8" t="str">
        <f t="shared" si="26"/>
        <v/>
      </c>
      <c r="R48" s="8" t="str">
        <f t="shared" si="27"/>
        <v/>
      </c>
      <c r="S48" s="9" t="str">
        <f t="shared" si="28"/>
        <v/>
      </c>
      <c r="T48" s="8" t="str">
        <f t="shared" si="29"/>
        <v/>
      </c>
      <c r="U48" s="9" t="str">
        <f t="shared" si="30"/>
        <v/>
      </c>
      <c r="V48" s="8" t="str">
        <f t="shared" si="31"/>
        <v/>
      </c>
      <c r="W48" s="9" t="str">
        <f t="shared" si="32"/>
        <v/>
      </c>
      <c r="X48" s="8" t="str">
        <f t="shared" si="33"/>
        <v/>
      </c>
      <c r="Y48" s="8" t="str">
        <f t="shared" si="34"/>
        <v/>
      </c>
      <c r="Z48" s="9" t="str">
        <f t="shared" si="35"/>
        <v/>
      </c>
      <c r="AA48" s="8" t="str">
        <f t="shared" si="36"/>
        <v/>
      </c>
      <c r="AB48" s="9" t="str">
        <f t="shared" si="37"/>
        <v/>
      </c>
      <c r="AC48" s="8" t="str">
        <f t="shared" si="38"/>
        <v/>
      </c>
      <c r="AD48" s="9" t="str">
        <f t="shared" si="39"/>
        <v/>
      </c>
      <c r="AE48" s="8" t="str">
        <f t="shared" si="40"/>
        <v/>
      </c>
      <c r="AF48" s="8" t="str">
        <f t="shared" si="41"/>
        <v/>
      </c>
      <c r="AG48" s="9" t="str">
        <f t="shared" si="42"/>
        <v/>
      </c>
      <c r="AH48" s="5" t="str">
        <f t="shared" si="43"/>
        <v/>
      </c>
      <c r="AI48" s="12" t="str">
        <f>IFERROR(VLOOKUP($B48,DM_Doanh_nghiep!$A$2:$I$1501,9,FALSE),"")</f>
        <v/>
      </c>
    </row>
    <row r="49" spans="1:35">
      <c r="A49" s="3"/>
      <c r="B49" s="4"/>
      <c r="C49" s="5" t="str">
        <f>IFERROR(VLOOKUP($B49,DM_Doanh_nghiep!$A$2:$H$1001,2,FALSE),"")</f>
        <v/>
      </c>
      <c r="D49" s="5" t="str">
        <f>IFERROR(VLOOKUP($B49,DM_Doanh_nghiep!$A$2:$H$1001,4,FALSE),"")</f>
        <v/>
      </c>
      <c r="E49" s="5" t="str">
        <f>IFERROR(VLOOKUP($B49,DM_Doanh_nghiep!$A$2:$H$1001,5,FALSE),"")</f>
        <v/>
      </c>
      <c r="F49" s="6"/>
      <c r="G49" s="6"/>
      <c r="H49" s="7"/>
      <c r="I49" s="7"/>
      <c r="J49" s="7"/>
      <c r="K49" s="6"/>
      <c r="L49" s="6"/>
      <c r="M49" s="8" t="str">
        <f t="shared" si="22"/>
        <v/>
      </c>
      <c r="N49" s="9" t="str">
        <f t="shared" si="23"/>
        <v/>
      </c>
      <c r="O49" s="8" t="str">
        <f t="shared" si="24"/>
        <v/>
      </c>
      <c r="P49" s="9" t="str">
        <f t="shared" si="25"/>
        <v/>
      </c>
      <c r="Q49" s="8" t="str">
        <f t="shared" si="26"/>
        <v/>
      </c>
      <c r="R49" s="8" t="str">
        <f t="shared" si="27"/>
        <v/>
      </c>
      <c r="S49" s="9" t="str">
        <f t="shared" si="28"/>
        <v/>
      </c>
      <c r="T49" s="8" t="str">
        <f t="shared" si="29"/>
        <v/>
      </c>
      <c r="U49" s="9" t="str">
        <f t="shared" si="30"/>
        <v/>
      </c>
      <c r="V49" s="8" t="str">
        <f t="shared" si="31"/>
        <v/>
      </c>
      <c r="W49" s="9" t="str">
        <f t="shared" si="32"/>
        <v/>
      </c>
      <c r="X49" s="8" t="str">
        <f t="shared" si="33"/>
        <v/>
      </c>
      <c r="Y49" s="8" t="str">
        <f t="shared" si="34"/>
        <v/>
      </c>
      <c r="Z49" s="9" t="str">
        <f t="shared" si="35"/>
        <v/>
      </c>
      <c r="AA49" s="8" t="str">
        <f t="shared" si="36"/>
        <v/>
      </c>
      <c r="AB49" s="9" t="str">
        <f t="shared" si="37"/>
        <v/>
      </c>
      <c r="AC49" s="8" t="str">
        <f t="shared" si="38"/>
        <v/>
      </c>
      <c r="AD49" s="9" t="str">
        <f t="shared" si="39"/>
        <v/>
      </c>
      <c r="AE49" s="8" t="str">
        <f t="shared" si="40"/>
        <v/>
      </c>
      <c r="AF49" s="8" t="str">
        <f t="shared" si="41"/>
        <v/>
      </c>
      <c r="AG49" s="9" t="str">
        <f t="shared" si="42"/>
        <v/>
      </c>
      <c r="AH49" s="5" t="str">
        <f t="shared" si="43"/>
        <v/>
      </c>
      <c r="AI49" s="12" t="str">
        <f>IFERROR(VLOOKUP($B49,DM_Doanh_nghiep!$A$2:$I$1501,9,FALSE),"")</f>
        <v/>
      </c>
    </row>
    <row r="50" spans="1:35">
      <c r="A50" s="3"/>
      <c r="B50" s="4"/>
      <c r="C50" s="5" t="str">
        <f>IFERROR(VLOOKUP($B50,DM_Doanh_nghiep!$A$2:$H$1001,2,FALSE),"")</f>
        <v/>
      </c>
      <c r="D50" s="5" t="str">
        <f>IFERROR(VLOOKUP($B50,DM_Doanh_nghiep!$A$2:$H$1001,4,FALSE),"")</f>
        <v/>
      </c>
      <c r="E50" s="5" t="str">
        <f>IFERROR(VLOOKUP($B50,DM_Doanh_nghiep!$A$2:$H$1001,5,FALSE),"")</f>
        <v/>
      </c>
      <c r="F50" s="6"/>
      <c r="G50" s="6"/>
      <c r="H50" s="7"/>
      <c r="I50" s="7"/>
      <c r="J50" s="7"/>
      <c r="K50" s="6"/>
      <c r="L50" s="6"/>
      <c r="M50" s="8" t="str">
        <f t="shared" si="22"/>
        <v/>
      </c>
      <c r="N50" s="9" t="str">
        <f t="shared" si="23"/>
        <v/>
      </c>
      <c r="O50" s="8" t="str">
        <f t="shared" si="24"/>
        <v/>
      </c>
      <c r="P50" s="9" t="str">
        <f t="shared" si="25"/>
        <v/>
      </c>
      <c r="Q50" s="8" t="str">
        <f t="shared" si="26"/>
        <v/>
      </c>
      <c r="R50" s="8" t="str">
        <f t="shared" si="27"/>
        <v/>
      </c>
      <c r="S50" s="9" t="str">
        <f t="shared" si="28"/>
        <v/>
      </c>
      <c r="T50" s="8" t="str">
        <f t="shared" si="29"/>
        <v/>
      </c>
      <c r="U50" s="9" t="str">
        <f t="shared" si="30"/>
        <v/>
      </c>
      <c r="V50" s="8" t="str">
        <f t="shared" si="31"/>
        <v/>
      </c>
      <c r="W50" s="9" t="str">
        <f t="shared" si="32"/>
        <v/>
      </c>
      <c r="X50" s="8" t="str">
        <f t="shared" si="33"/>
        <v/>
      </c>
      <c r="Y50" s="8" t="str">
        <f t="shared" si="34"/>
        <v/>
      </c>
      <c r="Z50" s="9" t="str">
        <f t="shared" si="35"/>
        <v/>
      </c>
      <c r="AA50" s="8" t="str">
        <f t="shared" si="36"/>
        <v/>
      </c>
      <c r="AB50" s="9" t="str">
        <f t="shared" si="37"/>
        <v/>
      </c>
      <c r="AC50" s="8" t="str">
        <f t="shared" si="38"/>
        <v/>
      </c>
      <c r="AD50" s="9" t="str">
        <f t="shared" si="39"/>
        <v/>
      </c>
      <c r="AE50" s="8" t="str">
        <f t="shared" si="40"/>
        <v/>
      </c>
      <c r="AF50" s="8" t="str">
        <f t="shared" si="41"/>
        <v/>
      </c>
      <c r="AG50" s="9" t="str">
        <f t="shared" si="42"/>
        <v/>
      </c>
      <c r="AH50" s="5" t="str">
        <f t="shared" si="43"/>
        <v/>
      </c>
      <c r="AI50" s="12" t="str">
        <f>IFERROR(VLOOKUP($B50,DM_Doanh_nghiep!$A$2:$I$1501,9,FALSE),"")</f>
        <v/>
      </c>
    </row>
    <row r="51" spans="1:35">
      <c r="A51" s="3"/>
      <c r="B51" s="4"/>
      <c r="C51" s="5" t="str">
        <f>IFERROR(VLOOKUP($B51,DM_Doanh_nghiep!$A$2:$H$1001,2,FALSE),"")</f>
        <v/>
      </c>
      <c r="D51" s="5" t="str">
        <f>IFERROR(VLOOKUP($B51,DM_Doanh_nghiep!$A$2:$H$1001,4,FALSE),"")</f>
        <v/>
      </c>
      <c r="E51" s="5" t="str">
        <f>IFERROR(VLOOKUP($B51,DM_Doanh_nghiep!$A$2:$H$1001,5,FALSE),"")</f>
        <v/>
      </c>
      <c r="F51" s="6"/>
      <c r="G51" s="6"/>
      <c r="H51" s="7"/>
      <c r="I51" s="7"/>
      <c r="J51" s="7"/>
      <c r="K51" s="6"/>
      <c r="L51" s="6"/>
      <c r="M51" s="8" t="str">
        <f t="shared" si="22"/>
        <v/>
      </c>
      <c r="N51" s="9" t="str">
        <f t="shared" si="23"/>
        <v/>
      </c>
      <c r="O51" s="8" t="str">
        <f t="shared" si="24"/>
        <v/>
      </c>
      <c r="P51" s="9" t="str">
        <f t="shared" si="25"/>
        <v/>
      </c>
      <c r="Q51" s="8" t="str">
        <f t="shared" si="26"/>
        <v/>
      </c>
      <c r="R51" s="8" t="str">
        <f t="shared" si="27"/>
        <v/>
      </c>
      <c r="S51" s="9" t="str">
        <f t="shared" si="28"/>
        <v/>
      </c>
      <c r="T51" s="8" t="str">
        <f t="shared" si="29"/>
        <v/>
      </c>
      <c r="U51" s="9" t="str">
        <f t="shared" si="30"/>
        <v/>
      </c>
      <c r="V51" s="8" t="str">
        <f t="shared" si="31"/>
        <v/>
      </c>
      <c r="W51" s="9" t="str">
        <f t="shared" si="32"/>
        <v/>
      </c>
      <c r="X51" s="8" t="str">
        <f t="shared" si="33"/>
        <v/>
      </c>
      <c r="Y51" s="8" t="str">
        <f t="shared" si="34"/>
        <v/>
      </c>
      <c r="Z51" s="9" t="str">
        <f t="shared" si="35"/>
        <v/>
      </c>
      <c r="AA51" s="8" t="str">
        <f t="shared" si="36"/>
        <v/>
      </c>
      <c r="AB51" s="9" t="str">
        <f t="shared" si="37"/>
        <v/>
      </c>
      <c r="AC51" s="8" t="str">
        <f t="shared" si="38"/>
        <v/>
      </c>
      <c r="AD51" s="9" t="str">
        <f t="shared" si="39"/>
        <v/>
      </c>
      <c r="AE51" s="8" t="str">
        <f t="shared" si="40"/>
        <v/>
      </c>
      <c r="AF51" s="8" t="str">
        <f t="shared" si="41"/>
        <v/>
      </c>
      <c r="AG51" s="9" t="str">
        <f t="shared" si="42"/>
        <v/>
      </c>
      <c r="AH51" s="5" t="str">
        <f t="shared" si="43"/>
        <v/>
      </c>
      <c r="AI51" s="12" t="str">
        <f>IFERROR(VLOOKUP($B51,DM_Doanh_nghiep!$A$2:$I$1501,9,FALSE),"")</f>
        <v/>
      </c>
    </row>
    <row r="52" spans="1:35">
      <c r="A52" s="3"/>
      <c r="B52" s="4"/>
      <c r="C52" s="5" t="str">
        <f>IFERROR(VLOOKUP($B52,DM_Doanh_nghiep!$A$2:$H$1001,2,FALSE),"")</f>
        <v/>
      </c>
      <c r="D52" s="5" t="str">
        <f>IFERROR(VLOOKUP($B52,DM_Doanh_nghiep!$A$2:$H$1001,4,FALSE),"")</f>
        <v/>
      </c>
      <c r="E52" s="5" t="str">
        <f>IFERROR(VLOOKUP($B52,DM_Doanh_nghiep!$A$2:$H$1001,5,FALSE),"")</f>
        <v/>
      </c>
      <c r="F52" s="6"/>
      <c r="G52" s="6"/>
      <c r="H52" s="7"/>
      <c r="I52" s="7"/>
      <c r="J52" s="7"/>
      <c r="K52" s="6"/>
      <c r="L52" s="6"/>
      <c r="M52" s="8" t="str">
        <f t="shared" si="22"/>
        <v/>
      </c>
      <c r="N52" s="9" t="str">
        <f t="shared" si="23"/>
        <v/>
      </c>
      <c r="O52" s="8" t="str">
        <f t="shared" si="24"/>
        <v/>
      </c>
      <c r="P52" s="9" t="str">
        <f t="shared" si="25"/>
        <v/>
      </c>
      <c r="Q52" s="8" t="str">
        <f t="shared" si="26"/>
        <v/>
      </c>
      <c r="R52" s="8" t="str">
        <f t="shared" si="27"/>
        <v/>
      </c>
      <c r="S52" s="9" t="str">
        <f t="shared" si="28"/>
        <v/>
      </c>
      <c r="T52" s="8" t="str">
        <f t="shared" si="29"/>
        <v/>
      </c>
      <c r="U52" s="9" t="str">
        <f t="shared" si="30"/>
        <v/>
      </c>
      <c r="V52" s="8" t="str">
        <f t="shared" si="31"/>
        <v/>
      </c>
      <c r="W52" s="9" t="str">
        <f t="shared" si="32"/>
        <v/>
      </c>
      <c r="X52" s="8" t="str">
        <f t="shared" si="33"/>
        <v/>
      </c>
      <c r="Y52" s="8" t="str">
        <f t="shared" si="34"/>
        <v/>
      </c>
      <c r="Z52" s="9" t="str">
        <f t="shared" si="35"/>
        <v/>
      </c>
      <c r="AA52" s="8" t="str">
        <f t="shared" si="36"/>
        <v/>
      </c>
      <c r="AB52" s="9" t="str">
        <f t="shared" si="37"/>
        <v/>
      </c>
      <c r="AC52" s="8" t="str">
        <f t="shared" si="38"/>
        <v/>
      </c>
      <c r="AD52" s="9" t="str">
        <f t="shared" si="39"/>
        <v/>
      </c>
      <c r="AE52" s="8" t="str">
        <f t="shared" si="40"/>
        <v/>
      </c>
      <c r="AF52" s="8" t="str">
        <f t="shared" si="41"/>
        <v/>
      </c>
      <c r="AG52" s="9" t="str">
        <f t="shared" si="42"/>
        <v/>
      </c>
      <c r="AH52" s="5" t="str">
        <f t="shared" si="43"/>
        <v/>
      </c>
      <c r="AI52" s="12" t="str">
        <f>IFERROR(VLOOKUP($B52,DM_Doanh_nghiep!$A$2:$I$1501,9,FALSE),"")</f>
        <v/>
      </c>
    </row>
    <row r="53" spans="1:35">
      <c r="A53" s="3"/>
      <c r="B53" s="4"/>
      <c r="C53" s="5" t="str">
        <f>IFERROR(VLOOKUP($B53,DM_Doanh_nghiep!$A$2:$H$1001,2,FALSE),"")</f>
        <v/>
      </c>
      <c r="D53" s="5" t="str">
        <f>IFERROR(VLOOKUP($B53,DM_Doanh_nghiep!$A$2:$H$1001,4,FALSE),"")</f>
        <v/>
      </c>
      <c r="E53" s="5" t="str">
        <f>IFERROR(VLOOKUP($B53,DM_Doanh_nghiep!$A$2:$H$1001,5,FALSE),"")</f>
        <v/>
      </c>
      <c r="F53" s="6"/>
      <c r="G53" s="6"/>
      <c r="H53" s="7"/>
      <c r="I53" s="7"/>
      <c r="J53" s="7"/>
      <c r="K53" s="6"/>
      <c r="L53" s="6"/>
      <c r="M53" s="8" t="str">
        <f t="shared" si="22"/>
        <v/>
      </c>
      <c r="N53" s="9" t="str">
        <f t="shared" si="23"/>
        <v/>
      </c>
      <c r="O53" s="8" t="str">
        <f t="shared" si="24"/>
        <v/>
      </c>
      <c r="P53" s="9" t="str">
        <f t="shared" si="25"/>
        <v/>
      </c>
      <c r="Q53" s="8" t="str">
        <f t="shared" si="26"/>
        <v/>
      </c>
      <c r="R53" s="8" t="str">
        <f t="shared" si="27"/>
        <v/>
      </c>
      <c r="S53" s="9" t="str">
        <f t="shared" si="28"/>
        <v/>
      </c>
      <c r="T53" s="8" t="str">
        <f t="shared" si="29"/>
        <v/>
      </c>
      <c r="U53" s="9" t="str">
        <f t="shared" si="30"/>
        <v/>
      </c>
      <c r="V53" s="8" t="str">
        <f t="shared" si="31"/>
        <v/>
      </c>
      <c r="W53" s="9" t="str">
        <f t="shared" si="32"/>
        <v/>
      </c>
      <c r="X53" s="8" t="str">
        <f t="shared" si="33"/>
        <v/>
      </c>
      <c r="Y53" s="8" t="str">
        <f t="shared" si="34"/>
        <v/>
      </c>
      <c r="Z53" s="9" t="str">
        <f t="shared" si="35"/>
        <v/>
      </c>
      <c r="AA53" s="8" t="str">
        <f t="shared" si="36"/>
        <v/>
      </c>
      <c r="AB53" s="9" t="str">
        <f t="shared" si="37"/>
        <v/>
      </c>
      <c r="AC53" s="8" t="str">
        <f t="shared" si="38"/>
        <v/>
      </c>
      <c r="AD53" s="9" t="str">
        <f t="shared" si="39"/>
        <v/>
      </c>
      <c r="AE53" s="8" t="str">
        <f t="shared" si="40"/>
        <v/>
      </c>
      <c r="AF53" s="8" t="str">
        <f t="shared" si="41"/>
        <v/>
      </c>
      <c r="AG53" s="9" t="str">
        <f t="shared" si="42"/>
        <v/>
      </c>
      <c r="AH53" s="5" t="str">
        <f t="shared" si="43"/>
        <v/>
      </c>
      <c r="AI53" s="12" t="str">
        <f>IFERROR(VLOOKUP($B53,DM_Doanh_nghiep!$A$2:$I$1501,9,FALSE),"")</f>
        <v/>
      </c>
    </row>
    <row r="54" spans="1:35">
      <c r="A54" s="3"/>
      <c r="B54" s="4"/>
      <c r="C54" s="5" t="str">
        <f>IFERROR(VLOOKUP($B54,DM_Doanh_nghiep!$A$2:$H$1001,2,FALSE),"")</f>
        <v/>
      </c>
      <c r="D54" s="5" t="str">
        <f>IFERROR(VLOOKUP($B54,DM_Doanh_nghiep!$A$2:$H$1001,4,FALSE),"")</f>
        <v/>
      </c>
      <c r="E54" s="5" t="str">
        <f>IFERROR(VLOOKUP($B54,DM_Doanh_nghiep!$A$2:$H$1001,5,FALSE),"")</f>
        <v/>
      </c>
      <c r="F54" s="6"/>
      <c r="G54" s="6"/>
      <c r="H54" s="7"/>
      <c r="I54" s="7"/>
      <c r="J54" s="7"/>
      <c r="K54" s="6"/>
      <c r="L54" s="6"/>
      <c r="M54" s="8" t="str">
        <f t="shared" si="22"/>
        <v/>
      </c>
      <c r="N54" s="9" t="str">
        <f t="shared" si="23"/>
        <v/>
      </c>
      <c r="O54" s="8" t="str">
        <f t="shared" si="24"/>
        <v/>
      </c>
      <c r="P54" s="9" t="str">
        <f t="shared" si="25"/>
        <v/>
      </c>
      <c r="Q54" s="8" t="str">
        <f t="shared" si="26"/>
        <v/>
      </c>
      <c r="R54" s="8" t="str">
        <f t="shared" si="27"/>
        <v/>
      </c>
      <c r="S54" s="9" t="str">
        <f t="shared" si="28"/>
        <v/>
      </c>
      <c r="T54" s="8" t="str">
        <f t="shared" si="29"/>
        <v/>
      </c>
      <c r="U54" s="9" t="str">
        <f t="shared" si="30"/>
        <v/>
      </c>
      <c r="V54" s="8" t="str">
        <f t="shared" si="31"/>
        <v/>
      </c>
      <c r="W54" s="9" t="str">
        <f t="shared" si="32"/>
        <v/>
      </c>
      <c r="X54" s="8" t="str">
        <f t="shared" si="33"/>
        <v/>
      </c>
      <c r="Y54" s="8" t="str">
        <f t="shared" si="34"/>
        <v/>
      </c>
      <c r="Z54" s="9" t="str">
        <f t="shared" si="35"/>
        <v/>
      </c>
      <c r="AA54" s="8" t="str">
        <f t="shared" si="36"/>
        <v/>
      </c>
      <c r="AB54" s="9" t="str">
        <f t="shared" si="37"/>
        <v/>
      </c>
      <c r="AC54" s="8" t="str">
        <f t="shared" si="38"/>
        <v/>
      </c>
      <c r="AD54" s="9" t="str">
        <f t="shared" si="39"/>
        <v/>
      </c>
      <c r="AE54" s="8" t="str">
        <f t="shared" si="40"/>
        <v/>
      </c>
      <c r="AF54" s="8" t="str">
        <f t="shared" si="41"/>
        <v/>
      </c>
      <c r="AG54" s="9" t="str">
        <f t="shared" si="42"/>
        <v/>
      </c>
      <c r="AH54" s="5" t="str">
        <f t="shared" si="43"/>
        <v/>
      </c>
      <c r="AI54" s="12" t="str">
        <f>IFERROR(VLOOKUP($B54,DM_Doanh_nghiep!$A$2:$I$1501,9,FALSE),"")</f>
        <v/>
      </c>
    </row>
    <row r="55" spans="1:35">
      <c r="A55" s="3"/>
      <c r="B55" s="4"/>
      <c r="C55" s="5" t="str">
        <f>IFERROR(VLOOKUP($B55,DM_Doanh_nghiep!$A$2:$H$1001,2,FALSE),"")</f>
        <v/>
      </c>
      <c r="D55" s="5" t="str">
        <f>IFERROR(VLOOKUP($B55,DM_Doanh_nghiep!$A$2:$H$1001,4,FALSE),"")</f>
        <v/>
      </c>
      <c r="E55" s="5" t="str">
        <f>IFERROR(VLOOKUP($B55,DM_Doanh_nghiep!$A$2:$H$1001,5,FALSE),"")</f>
        <v/>
      </c>
      <c r="F55" s="6"/>
      <c r="G55" s="6"/>
      <c r="H55" s="7"/>
      <c r="I55" s="7"/>
      <c r="J55" s="7"/>
      <c r="K55" s="6"/>
      <c r="L55" s="6"/>
      <c r="M55" s="8" t="str">
        <f t="shared" si="22"/>
        <v/>
      </c>
      <c r="N55" s="9" t="str">
        <f t="shared" si="23"/>
        <v/>
      </c>
      <c r="O55" s="8" t="str">
        <f t="shared" si="24"/>
        <v/>
      </c>
      <c r="P55" s="9" t="str">
        <f t="shared" si="25"/>
        <v/>
      </c>
      <c r="Q55" s="8" t="str">
        <f t="shared" si="26"/>
        <v/>
      </c>
      <c r="R55" s="8" t="str">
        <f t="shared" si="27"/>
        <v/>
      </c>
      <c r="S55" s="9" t="str">
        <f t="shared" si="28"/>
        <v/>
      </c>
      <c r="T55" s="8" t="str">
        <f t="shared" si="29"/>
        <v/>
      </c>
      <c r="U55" s="9" t="str">
        <f t="shared" si="30"/>
        <v/>
      </c>
      <c r="V55" s="8" t="str">
        <f t="shared" si="31"/>
        <v/>
      </c>
      <c r="W55" s="9" t="str">
        <f t="shared" si="32"/>
        <v/>
      </c>
      <c r="X55" s="8" t="str">
        <f t="shared" si="33"/>
        <v/>
      </c>
      <c r="Y55" s="8" t="str">
        <f t="shared" si="34"/>
        <v/>
      </c>
      <c r="Z55" s="9" t="str">
        <f t="shared" si="35"/>
        <v/>
      </c>
      <c r="AA55" s="8" t="str">
        <f t="shared" si="36"/>
        <v/>
      </c>
      <c r="AB55" s="9" t="str">
        <f t="shared" si="37"/>
        <v/>
      </c>
      <c r="AC55" s="8" t="str">
        <f t="shared" si="38"/>
        <v/>
      </c>
      <c r="AD55" s="9" t="str">
        <f t="shared" si="39"/>
        <v/>
      </c>
      <c r="AE55" s="8" t="str">
        <f t="shared" si="40"/>
        <v/>
      </c>
      <c r="AF55" s="8" t="str">
        <f t="shared" si="41"/>
        <v/>
      </c>
      <c r="AG55" s="9" t="str">
        <f t="shared" si="42"/>
        <v/>
      </c>
      <c r="AH55" s="5" t="str">
        <f t="shared" si="43"/>
        <v/>
      </c>
      <c r="AI55" s="12" t="str">
        <f>IFERROR(VLOOKUP($B55,DM_Doanh_nghiep!$A$2:$I$1501,9,FALSE),"")</f>
        <v/>
      </c>
    </row>
    <row r="56" spans="1:35">
      <c r="A56" s="3"/>
      <c r="B56" s="4"/>
      <c r="C56" s="5" t="str">
        <f>IFERROR(VLOOKUP($B56,DM_Doanh_nghiep!$A$2:$H$1001,2,FALSE),"")</f>
        <v/>
      </c>
      <c r="D56" s="5" t="str">
        <f>IFERROR(VLOOKUP($B56,DM_Doanh_nghiep!$A$2:$H$1001,4,FALSE),"")</f>
        <v/>
      </c>
      <c r="E56" s="5" t="str">
        <f>IFERROR(VLOOKUP($B56,DM_Doanh_nghiep!$A$2:$H$1001,5,FALSE),"")</f>
        <v/>
      </c>
      <c r="F56" s="6"/>
      <c r="G56" s="6"/>
      <c r="H56" s="7"/>
      <c r="I56" s="7"/>
      <c r="J56" s="7"/>
      <c r="K56" s="6"/>
      <c r="L56" s="6"/>
      <c r="M56" s="8" t="str">
        <f t="shared" si="22"/>
        <v/>
      </c>
      <c r="N56" s="9" t="str">
        <f t="shared" si="23"/>
        <v/>
      </c>
      <c r="O56" s="8" t="str">
        <f t="shared" si="24"/>
        <v/>
      </c>
      <c r="P56" s="9" t="str">
        <f t="shared" si="25"/>
        <v/>
      </c>
      <c r="Q56" s="8" t="str">
        <f t="shared" si="26"/>
        <v/>
      </c>
      <c r="R56" s="8" t="str">
        <f t="shared" si="27"/>
        <v/>
      </c>
      <c r="S56" s="9" t="str">
        <f t="shared" si="28"/>
        <v/>
      </c>
      <c r="T56" s="8" t="str">
        <f t="shared" si="29"/>
        <v/>
      </c>
      <c r="U56" s="9" t="str">
        <f t="shared" si="30"/>
        <v/>
      </c>
      <c r="V56" s="8" t="str">
        <f t="shared" si="31"/>
        <v/>
      </c>
      <c r="W56" s="9" t="str">
        <f t="shared" si="32"/>
        <v/>
      </c>
      <c r="X56" s="8" t="str">
        <f t="shared" si="33"/>
        <v/>
      </c>
      <c r="Y56" s="8" t="str">
        <f t="shared" si="34"/>
        <v/>
      </c>
      <c r="Z56" s="9" t="str">
        <f t="shared" si="35"/>
        <v/>
      </c>
      <c r="AA56" s="8" t="str">
        <f t="shared" si="36"/>
        <v/>
      </c>
      <c r="AB56" s="9" t="str">
        <f t="shared" si="37"/>
        <v/>
      </c>
      <c r="AC56" s="8" t="str">
        <f t="shared" si="38"/>
        <v/>
      </c>
      <c r="AD56" s="9" t="str">
        <f t="shared" si="39"/>
        <v/>
      </c>
      <c r="AE56" s="8" t="str">
        <f t="shared" si="40"/>
        <v/>
      </c>
      <c r="AF56" s="8" t="str">
        <f t="shared" si="41"/>
        <v/>
      </c>
      <c r="AG56" s="9" t="str">
        <f t="shared" si="42"/>
        <v/>
      </c>
      <c r="AH56" s="5" t="str">
        <f t="shared" si="43"/>
        <v/>
      </c>
      <c r="AI56" s="12" t="str">
        <f>IFERROR(VLOOKUP($B56,DM_Doanh_nghiep!$A$2:$I$1501,9,FALSE),"")</f>
        <v/>
      </c>
    </row>
    <row r="57" spans="1:35">
      <c r="A57" s="3"/>
      <c r="B57" s="4"/>
      <c r="C57" s="5" t="str">
        <f>IFERROR(VLOOKUP($B57,DM_Doanh_nghiep!$A$2:$H$1001,2,FALSE),"")</f>
        <v/>
      </c>
      <c r="D57" s="5" t="str">
        <f>IFERROR(VLOOKUP($B57,DM_Doanh_nghiep!$A$2:$H$1001,4,FALSE),"")</f>
        <v/>
      </c>
      <c r="E57" s="5" t="str">
        <f>IFERROR(VLOOKUP($B57,DM_Doanh_nghiep!$A$2:$H$1001,5,FALSE),"")</f>
        <v/>
      </c>
      <c r="F57" s="6"/>
      <c r="G57" s="6"/>
      <c r="H57" s="7"/>
      <c r="I57" s="7"/>
      <c r="J57" s="7"/>
      <c r="K57" s="6"/>
      <c r="L57" s="6"/>
      <c r="M57" s="8" t="str">
        <f t="shared" si="22"/>
        <v/>
      </c>
      <c r="N57" s="9" t="str">
        <f t="shared" si="23"/>
        <v/>
      </c>
      <c r="O57" s="8" t="str">
        <f t="shared" si="24"/>
        <v/>
      </c>
      <c r="P57" s="9" t="str">
        <f t="shared" si="25"/>
        <v/>
      </c>
      <c r="Q57" s="8" t="str">
        <f t="shared" si="26"/>
        <v/>
      </c>
      <c r="R57" s="8" t="str">
        <f t="shared" si="27"/>
        <v/>
      </c>
      <c r="S57" s="9" t="str">
        <f t="shared" si="28"/>
        <v/>
      </c>
      <c r="T57" s="8" t="str">
        <f t="shared" si="29"/>
        <v/>
      </c>
      <c r="U57" s="9" t="str">
        <f t="shared" si="30"/>
        <v/>
      </c>
      <c r="V57" s="8" t="str">
        <f t="shared" si="31"/>
        <v/>
      </c>
      <c r="W57" s="9" t="str">
        <f t="shared" si="32"/>
        <v/>
      </c>
      <c r="X57" s="8" t="str">
        <f t="shared" si="33"/>
        <v/>
      </c>
      <c r="Y57" s="8" t="str">
        <f t="shared" si="34"/>
        <v/>
      </c>
      <c r="Z57" s="9" t="str">
        <f t="shared" si="35"/>
        <v/>
      </c>
      <c r="AA57" s="8" t="str">
        <f t="shared" si="36"/>
        <v/>
      </c>
      <c r="AB57" s="9" t="str">
        <f t="shared" si="37"/>
        <v/>
      </c>
      <c r="AC57" s="8" t="str">
        <f t="shared" si="38"/>
        <v/>
      </c>
      <c r="AD57" s="9" t="str">
        <f t="shared" si="39"/>
        <v/>
      </c>
      <c r="AE57" s="8" t="str">
        <f t="shared" si="40"/>
        <v/>
      </c>
      <c r="AF57" s="8" t="str">
        <f t="shared" si="41"/>
        <v/>
      </c>
      <c r="AG57" s="9" t="str">
        <f t="shared" si="42"/>
        <v/>
      </c>
      <c r="AH57" s="5" t="str">
        <f t="shared" si="43"/>
        <v/>
      </c>
      <c r="AI57" s="12" t="str">
        <f>IFERROR(VLOOKUP($B57,DM_Doanh_nghiep!$A$2:$I$1501,9,FALSE),"")</f>
        <v/>
      </c>
    </row>
    <row r="58" spans="1:35">
      <c r="A58" s="3"/>
      <c r="B58" s="4"/>
      <c r="C58" s="5" t="str">
        <f>IFERROR(VLOOKUP($B58,DM_Doanh_nghiep!$A$2:$H$1001,2,FALSE),"")</f>
        <v/>
      </c>
      <c r="D58" s="5" t="str">
        <f>IFERROR(VLOOKUP($B58,DM_Doanh_nghiep!$A$2:$H$1001,4,FALSE),"")</f>
        <v/>
      </c>
      <c r="E58" s="5" t="str">
        <f>IFERROR(VLOOKUP($B58,DM_Doanh_nghiep!$A$2:$H$1001,5,FALSE),"")</f>
        <v/>
      </c>
      <c r="F58" s="6"/>
      <c r="G58" s="6"/>
      <c r="H58" s="7"/>
      <c r="I58" s="7"/>
      <c r="J58" s="7"/>
      <c r="K58" s="6"/>
      <c r="L58" s="6"/>
      <c r="M58" s="8" t="str">
        <f t="shared" si="22"/>
        <v/>
      </c>
      <c r="N58" s="9" t="str">
        <f t="shared" si="23"/>
        <v/>
      </c>
      <c r="O58" s="8" t="str">
        <f t="shared" si="24"/>
        <v/>
      </c>
      <c r="P58" s="9" t="str">
        <f t="shared" si="25"/>
        <v/>
      </c>
      <c r="Q58" s="8" t="str">
        <f t="shared" si="26"/>
        <v/>
      </c>
      <c r="R58" s="8" t="str">
        <f t="shared" si="27"/>
        <v/>
      </c>
      <c r="S58" s="9" t="str">
        <f t="shared" si="28"/>
        <v/>
      </c>
      <c r="T58" s="8" t="str">
        <f t="shared" si="29"/>
        <v/>
      </c>
      <c r="U58" s="9" t="str">
        <f t="shared" si="30"/>
        <v/>
      </c>
      <c r="V58" s="8" t="str">
        <f t="shared" si="31"/>
        <v/>
      </c>
      <c r="W58" s="9" t="str">
        <f t="shared" si="32"/>
        <v/>
      </c>
      <c r="X58" s="8" t="str">
        <f t="shared" si="33"/>
        <v/>
      </c>
      <c r="Y58" s="8" t="str">
        <f t="shared" si="34"/>
        <v/>
      </c>
      <c r="Z58" s="9" t="str">
        <f t="shared" si="35"/>
        <v/>
      </c>
      <c r="AA58" s="8" t="str">
        <f t="shared" si="36"/>
        <v/>
      </c>
      <c r="AB58" s="9" t="str">
        <f t="shared" si="37"/>
        <v/>
      </c>
      <c r="AC58" s="8" t="str">
        <f t="shared" si="38"/>
        <v/>
      </c>
      <c r="AD58" s="9" t="str">
        <f t="shared" si="39"/>
        <v/>
      </c>
      <c r="AE58" s="8" t="str">
        <f t="shared" si="40"/>
        <v/>
      </c>
      <c r="AF58" s="8" t="str">
        <f t="shared" si="41"/>
        <v/>
      </c>
      <c r="AG58" s="9" t="str">
        <f t="shared" si="42"/>
        <v/>
      </c>
      <c r="AH58" s="5" t="str">
        <f t="shared" si="43"/>
        <v/>
      </c>
      <c r="AI58" s="12" t="str">
        <f>IFERROR(VLOOKUP($B58,DM_Doanh_nghiep!$A$2:$I$1501,9,FALSE),"")</f>
        <v/>
      </c>
    </row>
    <row r="59" spans="1:35">
      <c r="A59" s="3"/>
      <c r="B59" s="4"/>
      <c r="C59" s="5" t="str">
        <f>IFERROR(VLOOKUP($B59,DM_Doanh_nghiep!$A$2:$H$1001,2,FALSE),"")</f>
        <v/>
      </c>
      <c r="D59" s="5" t="str">
        <f>IFERROR(VLOOKUP($B59,DM_Doanh_nghiep!$A$2:$H$1001,4,FALSE),"")</f>
        <v/>
      </c>
      <c r="E59" s="5" t="str">
        <f>IFERROR(VLOOKUP($B59,DM_Doanh_nghiep!$A$2:$H$1001,5,FALSE),"")</f>
        <v/>
      </c>
      <c r="F59" s="6"/>
      <c r="G59" s="6"/>
      <c r="H59" s="7"/>
      <c r="I59" s="7"/>
      <c r="J59" s="7"/>
      <c r="K59" s="6"/>
      <c r="L59" s="6"/>
      <c r="M59" s="8" t="str">
        <f t="shared" si="22"/>
        <v/>
      </c>
      <c r="N59" s="9" t="str">
        <f t="shared" si="23"/>
        <v/>
      </c>
      <c r="O59" s="8" t="str">
        <f t="shared" si="24"/>
        <v/>
      </c>
      <c r="P59" s="9" t="str">
        <f t="shared" si="25"/>
        <v/>
      </c>
      <c r="Q59" s="8" t="str">
        <f t="shared" si="26"/>
        <v/>
      </c>
      <c r="R59" s="8" t="str">
        <f t="shared" si="27"/>
        <v/>
      </c>
      <c r="S59" s="9" t="str">
        <f t="shared" si="28"/>
        <v/>
      </c>
      <c r="T59" s="8" t="str">
        <f t="shared" si="29"/>
        <v/>
      </c>
      <c r="U59" s="9" t="str">
        <f t="shared" si="30"/>
        <v/>
      </c>
      <c r="V59" s="8" t="str">
        <f t="shared" si="31"/>
        <v/>
      </c>
      <c r="W59" s="9" t="str">
        <f t="shared" si="32"/>
        <v/>
      </c>
      <c r="X59" s="8" t="str">
        <f t="shared" si="33"/>
        <v/>
      </c>
      <c r="Y59" s="8" t="str">
        <f t="shared" si="34"/>
        <v/>
      </c>
      <c r="Z59" s="9" t="str">
        <f t="shared" si="35"/>
        <v/>
      </c>
      <c r="AA59" s="8" t="str">
        <f t="shared" si="36"/>
        <v/>
      </c>
      <c r="AB59" s="9" t="str">
        <f t="shared" si="37"/>
        <v/>
      </c>
      <c r="AC59" s="8" t="str">
        <f t="shared" si="38"/>
        <v/>
      </c>
      <c r="AD59" s="9" t="str">
        <f t="shared" si="39"/>
        <v/>
      </c>
      <c r="AE59" s="8" t="str">
        <f t="shared" si="40"/>
        <v/>
      </c>
      <c r="AF59" s="8" t="str">
        <f t="shared" si="41"/>
        <v/>
      </c>
      <c r="AG59" s="9" t="str">
        <f t="shared" si="42"/>
        <v/>
      </c>
      <c r="AH59" s="5" t="str">
        <f t="shared" si="43"/>
        <v/>
      </c>
      <c r="AI59" s="12" t="str">
        <f>IFERROR(VLOOKUP($B59,DM_Doanh_nghiep!$A$2:$I$1501,9,FALSE),"")</f>
        <v/>
      </c>
    </row>
    <row r="60" spans="1:35">
      <c r="A60" s="3"/>
      <c r="B60" s="4"/>
      <c r="C60" s="5" t="str">
        <f>IFERROR(VLOOKUP($B60,DM_Doanh_nghiep!$A$2:$H$1001,2,FALSE),"")</f>
        <v/>
      </c>
      <c r="D60" s="5" t="str">
        <f>IFERROR(VLOOKUP($B60,DM_Doanh_nghiep!$A$2:$H$1001,4,FALSE),"")</f>
        <v/>
      </c>
      <c r="E60" s="5" t="str">
        <f>IFERROR(VLOOKUP($B60,DM_Doanh_nghiep!$A$2:$H$1001,5,FALSE),"")</f>
        <v/>
      </c>
      <c r="F60" s="6"/>
      <c r="G60" s="6"/>
      <c r="H60" s="7"/>
      <c r="I60" s="7"/>
      <c r="J60" s="7"/>
      <c r="K60" s="6"/>
      <c r="L60" s="6"/>
      <c r="M60" s="8" t="str">
        <f t="shared" si="22"/>
        <v/>
      </c>
      <c r="N60" s="9" t="str">
        <f t="shared" si="23"/>
        <v/>
      </c>
      <c r="O60" s="8" t="str">
        <f t="shared" si="24"/>
        <v/>
      </c>
      <c r="P60" s="9" t="str">
        <f t="shared" si="25"/>
        <v/>
      </c>
      <c r="Q60" s="8" t="str">
        <f t="shared" si="26"/>
        <v/>
      </c>
      <c r="R60" s="8" t="str">
        <f t="shared" si="27"/>
        <v/>
      </c>
      <c r="S60" s="9" t="str">
        <f t="shared" si="28"/>
        <v/>
      </c>
      <c r="T60" s="8" t="str">
        <f t="shared" si="29"/>
        <v/>
      </c>
      <c r="U60" s="9" t="str">
        <f t="shared" si="30"/>
        <v/>
      </c>
      <c r="V60" s="8" t="str">
        <f t="shared" si="31"/>
        <v/>
      </c>
      <c r="W60" s="9" t="str">
        <f t="shared" si="32"/>
        <v/>
      </c>
      <c r="X60" s="8" t="str">
        <f t="shared" si="33"/>
        <v/>
      </c>
      <c r="Y60" s="8" t="str">
        <f t="shared" si="34"/>
        <v/>
      </c>
      <c r="Z60" s="9" t="str">
        <f t="shared" si="35"/>
        <v/>
      </c>
      <c r="AA60" s="8" t="str">
        <f t="shared" si="36"/>
        <v/>
      </c>
      <c r="AB60" s="9" t="str">
        <f t="shared" si="37"/>
        <v/>
      </c>
      <c r="AC60" s="8" t="str">
        <f t="shared" si="38"/>
        <v/>
      </c>
      <c r="AD60" s="9" t="str">
        <f t="shared" si="39"/>
        <v/>
      </c>
      <c r="AE60" s="8" t="str">
        <f t="shared" si="40"/>
        <v/>
      </c>
      <c r="AF60" s="8" t="str">
        <f t="shared" si="41"/>
        <v/>
      </c>
      <c r="AG60" s="9" t="str">
        <f t="shared" si="42"/>
        <v/>
      </c>
      <c r="AH60" s="5" t="str">
        <f t="shared" si="43"/>
        <v/>
      </c>
      <c r="AI60" s="12" t="str">
        <f>IFERROR(VLOOKUP($B60,DM_Doanh_nghiep!$A$2:$I$1501,9,FALSE),"")</f>
        <v/>
      </c>
    </row>
    <row r="61" spans="1:35">
      <c r="A61" s="3"/>
      <c r="B61" s="4"/>
      <c r="C61" s="5" t="str">
        <f>IFERROR(VLOOKUP($B61,DM_Doanh_nghiep!$A$2:$H$1001,2,FALSE),"")</f>
        <v/>
      </c>
      <c r="D61" s="5" t="str">
        <f>IFERROR(VLOOKUP($B61,DM_Doanh_nghiep!$A$2:$H$1001,4,FALSE),"")</f>
        <v/>
      </c>
      <c r="E61" s="5" t="str">
        <f>IFERROR(VLOOKUP($B61,DM_Doanh_nghiep!$A$2:$H$1001,5,FALSE),"")</f>
        <v/>
      </c>
      <c r="F61" s="6"/>
      <c r="G61" s="6"/>
      <c r="H61" s="7"/>
      <c r="I61" s="7"/>
      <c r="J61" s="7"/>
      <c r="K61" s="6"/>
      <c r="L61" s="6"/>
      <c r="M61" s="8" t="str">
        <f t="shared" si="22"/>
        <v/>
      </c>
      <c r="N61" s="9" t="str">
        <f t="shared" si="23"/>
        <v/>
      </c>
      <c r="O61" s="8" t="str">
        <f t="shared" si="24"/>
        <v/>
      </c>
      <c r="P61" s="9" t="str">
        <f t="shared" si="25"/>
        <v/>
      </c>
      <c r="Q61" s="8" t="str">
        <f t="shared" si="26"/>
        <v/>
      </c>
      <c r="R61" s="8" t="str">
        <f t="shared" si="27"/>
        <v/>
      </c>
      <c r="S61" s="9" t="str">
        <f t="shared" si="28"/>
        <v/>
      </c>
      <c r="T61" s="8" t="str">
        <f t="shared" si="29"/>
        <v/>
      </c>
      <c r="U61" s="9" t="str">
        <f t="shared" si="30"/>
        <v/>
      </c>
      <c r="V61" s="8" t="str">
        <f t="shared" si="31"/>
        <v/>
      </c>
      <c r="W61" s="9" t="str">
        <f t="shared" si="32"/>
        <v/>
      </c>
      <c r="X61" s="8" t="str">
        <f t="shared" si="33"/>
        <v/>
      </c>
      <c r="Y61" s="8" t="str">
        <f t="shared" si="34"/>
        <v/>
      </c>
      <c r="Z61" s="9" t="str">
        <f t="shared" si="35"/>
        <v/>
      </c>
      <c r="AA61" s="8" t="str">
        <f t="shared" si="36"/>
        <v/>
      </c>
      <c r="AB61" s="9" t="str">
        <f t="shared" si="37"/>
        <v/>
      </c>
      <c r="AC61" s="8" t="str">
        <f t="shared" si="38"/>
        <v/>
      </c>
      <c r="AD61" s="9" t="str">
        <f t="shared" si="39"/>
        <v/>
      </c>
      <c r="AE61" s="8" t="str">
        <f t="shared" si="40"/>
        <v/>
      </c>
      <c r="AF61" s="8" t="str">
        <f t="shared" si="41"/>
        <v/>
      </c>
      <c r="AG61" s="9" t="str">
        <f t="shared" si="42"/>
        <v/>
      </c>
      <c r="AH61" s="5" t="str">
        <f t="shared" si="43"/>
        <v/>
      </c>
      <c r="AI61" s="12" t="str">
        <f>IFERROR(VLOOKUP($B61,DM_Doanh_nghiep!$A$2:$I$1501,9,FALSE),"")</f>
        <v/>
      </c>
    </row>
    <row r="62" spans="1:35">
      <c r="A62" s="3"/>
      <c r="B62" s="4"/>
      <c r="C62" s="5" t="str">
        <f>IFERROR(VLOOKUP($B62,DM_Doanh_nghiep!$A$2:$H$1001,2,FALSE),"")</f>
        <v/>
      </c>
      <c r="D62" s="5" t="str">
        <f>IFERROR(VLOOKUP($B62,DM_Doanh_nghiep!$A$2:$H$1001,4,FALSE),"")</f>
        <v/>
      </c>
      <c r="E62" s="5" t="str">
        <f>IFERROR(VLOOKUP($B62,DM_Doanh_nghiep!$A$2:$H$1001,5,FALSE),"")</f>
        <v/>
      </c>
      <c r="F62" s="6"/>
      <c r="G62" s="6"/>
      <c r="H62" s="7"/>
      <c r="I62" s="7"/>
      <c r="J62" s="7"/>
      <c r="K62" s="6"/>
      <c r="L62" s="6"/>
      <c r="M62" s="8" t="str">
        <f t="shared" si="22"/>
        <v/>
      </c>
      <c r="N62" s="9" t="str">
        <f t="shared" si="23"/>
        <v/>
      </c>
      <c r="O62" s="8" t="str">
        <f t="shared" si="24"/>
        <v/>
      </c>
      <c r="P62" s="9" t="str">
        <f t="shared" si="25"/>
        <v/>
      </c>
      <c r="Q62" s="8" t="str">
        <f t="shared" si="26"/>
        <v/>
      </c>
      <c r="R62" s="8" t="str">
        <f t="shared" si="27"/>
        <v/>
      </c>
      <c r="S62" s="9" t="str">
        <f t="shared" si="28"/>
        <v/>
      </c>
      <c r="T62" s="8" t="str">
        <f t="shared" si="29"/>
        <v/>
      </c>
      <c r="U62" s="9" t="str">
        <f t="shared" si="30"/>
        <v/>
      </c>
      <c r="V62" s="8" t="str">
        <f t="shared" si="31"/>
        <v/>
      </c>
      <c r="W62" s="9" t="str">
        <f t="shared" si="32"/>
        <v/>
      </c>
      <c r="X62" s="8" t="str">
        <f t="shared" si="33"/>
        <v/>
      </c>
      <c r="Y62" s="8" t="str">
        <f t="shared" si="34"/>
        <v/>
      </c>
      <c r="Z62" s="9" t="str">
        <f t="shared" si="35"/>
        <v/>
      </c>
      <c r="AA62" s="8" t="str">
        <f t="shared" si="36"/>
        <v/>
      </c>
      <c r="AB62" s="9" t="str">
        <f t="shared" si="37"/>
        <v/>
      </c>
      <c r="AC62" s="8" t="str">
        <f t="shared" si="38"/>
        <v/>
      </c>
      <c r="AD62" s="9" t="str">
        <f t="shared" si="39"/>
        <v/>
      </c>
      <c r="AE62" s="8" t="str">
        <f t="shared" si="40"/>
        <v/>
      </c>
      <c r="AF62" s="8" t="str">
        <f t="shared" si="41"/>
        <v/>
      </c>
      <c r="AG62" s="9" t="str">
        <f t="shared" si="42"/>
        <v/>
      </c>
      <c r="AH62" s="5" t="str">
        <f t="shared" si="43"/>
        <v/>
      </c>
      <c r="AI62" s="12" t="str">
        <f>IFERROR(VLOOKUP($B62,DM_Doanh_nghiep!$A$2:$I$1501,9,FALSE),"")</f>
        <v/>
      </c>
    </row>
    <row r="63" spans="1:35">
      <c r="A63" s="3"/>
      <c r="B63" s="4"/>
      <c r="C63" s="5" t="str">
        <f>IFERROR(VLOOKUP($B63,DM_Doanh_nghiep!$A$2:$H$1001,2,FALSE),"")</f>
        <v/>
      </c>
      <c r="D63" s="5" t="str">
        <f>IFERROR(VLOOKUP($B63,DM_Doanh_nghiep!$A$2:$H$1001,4,FALSE),"")</f>
        <v/>
      </c>
      <c r="E63" s="5" t="str">
        <f>IFERROR(VLOOKUP($B63,DM_Doanh_nghiep!$A$2:$H$1001,5,FALSE),"")</f>
        <v/>
      </c>
      <c r="F63" s="6"/>
      <c r="G63" s="6"/>
      <c r="H63" s="7"/>
      <c r="I63" s="7"/>
      <c r="J63" s="7"/>
      <c r="K63" s="6"/>
      <c r="L63" s="6"/>
      <c r="M63" s="8" t="str">
        <f t="shared" si="22"/>
        <v/>
      </c>
      <c r="N63" s="9" t="str">
        <f t="shared" si="23"/>
        <v/>
      </c>
      <c r="O63" s="8" t="str">
        <f t="shared" si="24"/>
        <v/>
      </c>
      <c r="P63" s="9" t="str">
        <f t="shared" si="25"/>
        <v/>
      </c>
      <c r="Q63" s="8" t="str">
        <f t="shared" si="26"/>
        <v/>
      </c>
      <c r="R63" s="8" t="str">
        <f t="shared" si="27"/>
        <v/>
      </c>
      <c r="S63" s="9" t="str">
        <f t="shared" si="28"/>
        <v/>
      </c>
      <c r="T63" s="8" t="str">
        <f t="shared" si="29"/>
        <v/>
      </c>
      <c r="U63" s="9" t="str">
        <f t="shared" si="30"/>
        <v/>
      </c>
      <c r="V63" s="8" t="str">
        <f t="shared" si="31"/>
        <v/>
      </c>
      <c r="W63" s="9" t="str">
        <f t="shared" si="32"/>
        <v/>
      </c>
      <c r="X63" s="8" t="str">
        <f t="shared" si="33"/>
        <v/>
      </c>
      <c r="Y63" s="8" t="str">
        <f t="shared" si="34"/>
        <v/>
      </c>
      <c r="Z63" s="9" t="str">
        <f t="shared" si="35"/>
        <v/>
      </c>
      <c r="AA63" s="8" t="str">
        <f t="shared" si="36"/>
        <v/>
      </c>
      <c r="AB63" s="9" t="str">
        <f t="shared" si="37"/>
        <v/>
      </c>
      <c r="AC63" s="8" t="str">
        <f t="shared" si="38"/>
        <v/>
      </c>
      <c r="AD63" s="9" t="str">
        <f t="shared" si="39"/>
        <v/>
      </c>
      <c r="AE63" s="8" t="str">
        <f t="shared" si="40"/>
        <v/>
      </c>
      <c r="AF63" s="8" t="str">
        <f t="shared" si="41"/>
        <v/>
      </c>
      <c r="AG63" s="9" t="str">
        <f t="shared" si="42"/>
        <v/>
      </c>
      <c r="AH63" s="5" t="str">
        <f t="shared" si="43"/>
        <v/>
      </c>
      <c r="AI63" s="12" t="str">
        <f>IFERROR(VLOOKUP($B63,DM_Doanh_nghiep!$A$2:$I$1501,9,FALSE),"")</f>
        <v/>
      </c>
    </row>
    <row r="64" spans="1:35">
      <c r="A64" s="3"/>
      <c r="B64" s="4"/>
      <c r="C64" s="5" t="str">
        <f>IFERROR(VLOOKUP($B64,DM_Doanh_nghiep!$A$2:$H$1001,2,FALSE),"")</f>
        <v/>
      </c>
      <c r="D64" s="5" t="str">
        <f>IFERROR(VLOOKUP($B64,DM_Doanh_nghiep!$A$2:$H$1001,4,FALSE),"")</f>
        <v/>
      </c>
      <c r="E64" s="5" t="str">
        <f>IFERROR(VLOOKUP($B64,DM_Doanh_nghiep!$A$2:$H$1001,5,FALSE),"")</f>
        <v/>
      </c>
      <c r="F64" s="6"/>
      <c r="G64" s="6"/>
      <c r="H64" s="7"/>
      <c r="I64" s="7"/>
      <c r="J64" s="7"/>
      <c r="K64" s="6"/>
      <c r="L64" s="6"/>
      <c r="M64" s="8" t="str">
        <f t="shared" si="22"/>
        <v/>
      </c>
      <c r="N64" s="9" t="str">
        <f t="shared" si="23"/>
        <v/>
      </c>
      <c r="O64" s="8" t="str">
        <f t="shared" si="24"/>
        <v/>
      </c>
      <c r="P64" s="9" t="str">
        <f t="shared" si="25"/>
        <v/>
      </c>
      <c r="Q64" s="8" t="str">
        <f t="shared" si="26"/>
        <v/>
      </c>
      <c r="R64" s="8" t="str">
        <f t="shared" si="27"/>
        <v/>
      </c>
      <c r="S64" s="9" t="str">
        <f t="shared" si="28"/>
        <v/>
      </c>
      <c r="T64" s="8" t="str">
        <f t="shared" si="29"/>
        <v/>
      </c>
      <c r="U64" s="9" t="str">
        <f t="shared" si="30"/>
        <v/>
      </c>
      <c r="V64" s="8" t="str">
        <f t="shared" si="31"/>
        <v/>
      </c>
      <c r="W64" s="9" t="str">
        <f t="shared" si="32"/>
        <v/>
      </c>
      <c r="X64" s="8" t="str">
        <f t="shared" si="33"/>
        <v/>
      </c>
      <c r="Y64" s="8" t="str">
        <f t="shared" si="34"/>
        <v/>
      </c>
      <c r="Z64" s="9" t="str">
        <f t="shared" si="35"/>
        <v/>
      </c>
      <c r="AA64" s="8" t="str">
        <f t="shared" si="36"/>
        <v/>
      </c>
      <c r="AB64" s="9" t="str">
        <f t="shared" si="37"/>
        <v/>
      </c>
      <c r="AC64" s="8" t="str">
        <f t="shared" si="38"/>
        <v/>
      </c>
      <c r="AD64" s="9" t="str">
        <f t="shared" si="39"/>
        <v/>
      </c>
      <c r="AE64" s="8" t="str">
        <f t="shared" si="40"/>
        <v/>
      </c>
      <c r="AF64" s="8" t="str">
        <f t="shared" si="41"/>
        <v/>
      </c>
      <c r="AG64" s="9" t="str">
        <f t="shared" si="42"/>
        <v/>
      </c>
      <c r="AH64" s="5" t="str">
        <f t="shared" si="43"/>
        <v/>
      </c>
      <c r="AI64" s="12" t="str">
        <f>IFERROR(VLOOKUP($B64,DM_Doanh_nghiep!$A$2:$I$1501,9,FALSE),"")</f>
        <v/>
      </c>
    </row>
    <row r="65" spans="1:35">
      <c r="A65" s="3"/>
      <c r="B65" s="4"/>
      <c r="C65" s="5" t="str">
        <f>IFERROR(VLOOKUP($B65,DM_Doanh_nghiep!$A$2:$H$1001,2,FALSE),"")</f>
        <v/>
      </c>
      <c r="D65" s="5" t="str">
        <f>IFERROR(VLOOKUP($B65,DM_Doanh_nghiep!$A$2:$H$1001,4,FALSE),"")</f>
        <v/>
      </c>
      <c r="E65" s="5" t="str">
        <f>IFERROR(VLOOKUP($B65,DM_Doanh_nghiep!$A$2:$H$1001,5,FALSE),"")</f>
        <v/>
      </c>
      <c r="F65" s="6"/>
      <c r="G65" s="6"/>
      <c r="H65" s="7"/>
      <c r="I65" s="7"/>
      <c r="J65" s="7"/>
      <c r="K65" s="6"/>
      <c r="L65" s="6"/>
      <c r="M65" s="8" t="str">
        <f t="shared" si="22"/>
        <v/>
      </c>
      <c r="N65" s="9" t="str">
        <f t="shared" si="23"/>
        <v/>
      </c>
      <c r="O65" s="8" t="str">
        <f t="shared" si="24"/>
        <v/>
      </c>
      <c r="P65" s="9" t="str">
        <f t="shared" si="25"/>
        <v/>
      </c>
      <c r="Q65" s="8" t="str">
        <f t="shared" si="26"/>
        <v/>
      </c>
      <c r="R65" s="8" t="str">
        <f t="shared" si="27"/>
        <v/>
      </c>
      <c r="S65" s="9" t="str">
        <f t="shared" si="28"/>
        <v/>
      </c>
      <c r="T65" s="8" t="str">
        <f t="shared" si="29"/>
        <v/>
      </c>
      <c r="U65" s="9" t="str">
        <f t="shared" si="30"/>
        <v/>
      </c>
      <c r="V65" s="8" t="str">
        <f t="shared" si="31"/>
        <v/>
      </c>
      <c r="W65" s="9" t="str">
        <f t="shared" si="32"/>
        <v/>
      </c>
      <c r="X65" s="8" t="str">
        <f t="shared" si="33"/>
        <v/>
      </c>
      <c r="Y65" s="8" t="str">
        <f t="shared" si="34"/>
        <v/>
      </c>
      <c r="Z65" s="9" t="str">
        <f t="shared" si="35"/>
        <v/>
      </c>
      <c r="AA65" s="8" t="str">
        <f t="shared" si="36"/>
        <v/>
      </c>
      <c r="AB65" s="9" t="str">
        <f t="shared" si="37"/>
        <v/>
      </c>
      <c r="AC65" s="8" t="str">
        <f t="shared" si="38"/>
        <v/>
      </c>
      <c r="AD65" s="9" t="str">
        <f t="shared" si="39"/>
        <v/>
      </c>
      <c r="AE65" s="8" t="str">
        <f t="shared" si="40"/>
        <v/>
      </c>
      <c r="AF65" s="8" t="str">
        <f t="shared" si="41"/>
        <v/>
      </c>
      <c r="AG65" s="9" t="str">
        <f t="shared" si="42"/>
        <v/>
      </c>
      <c r="AH65" s="5" t="str">
        <f t="shared" si="43"/>
        <v/>
      </c>
      <c r="AI65" s="12" t="str">
        <f>IFERROR(VLOOKUP($B65,DM_Doanh_nghiep!$A$2:$I$1501,9,FALSE),"")</f>
        <v/>
      </c>
    </row>
    <row r="66" spans="1:35">
      <c r="A66" s="3"/>
      <c r="B66" s="4"/>
      <c r="C66" s="5" t="str">
        <f>IFERROR(VLOOKUP($B66,DM_Doanh_nghiep!$A$2:$H$1001,2,FALSE),"")</f>
        <v/>
      </c>
      <c r="D66" s="5" t="str">
        <f>IFERROR(VLOOKUP($B66,DM_Doanh_nghiep!$A$2:$H$1001,4,FALSE),"")</f>
        <v/>
      </c>
      <c r="E66" s="5" t="str">
        <f>IFERROR(VLOOKUP($B66,DM_Doanh_nghiep!$A$2:$H$1001,5,FALSE),"")</f>
        <v/>
      </c>
      <c r="F66" s="6"/>
      <c r="G66" s="6"/>
      <c r="H66" s="7"/>
      <c r="I66" s="7"/>
      <c r="J66" s="7"/>
      <c r="K66" s="6"/>
      <c r="L66" s="6"/>
      <c r="M66" s="8" t="str">
        <f t="shared" ref="M66:M101" si="44">IF(OR($A66="",$B66=""),"",SUMIFS($H$2:$H$101,$B$2:$B$101,$B66,$A$2:$A$101,EDATE($A66,-1)))</f>
        <v/>
      </c>
      <c r="N66" s="9" t="str">
        <f t="shared" ref="N66:N101" si="45">IF(OR($H66="",$M66="",$M66=0),"",$H66/$M66-1)</f>
        <v/>
      </c>
      <c r="O66" s="8" t="str">
        <f t="shared" ref="O66:O101" si="46">IF(OR($A66="",$B66=""),"",SUMIFS($H$2:$H$101,$B$2:$B$101,$B66,$A$2:$A$101,EDATE($A66,-12)))</f>
        <v/>
      </c>
      <c r="P66" s="9" t="str">
        <f t="shared" ref="P66:P101" si="47">IF(OR($H66="",$O66="",$O66=0),"",$H66/$O66-1)</f>
        <v/>
      </c>
      <c r="Q66" s="8" t="str">
        <f t="shared" ref="Q66:Q101" si="48">IF(OR($A66="",$B66=""),"",SUMIFS($H$2:$H$101,$B$2:$B$101,$B66,$A$2:$A$101,"&gt;="&amp;DATE(YEAR($A66),1,1),$A$2:$A$101,"&lt;="&amp;$A66))</f>
        <v/>
      </c>
      <c r="R66" s="8" t="str">
        <f t="shared" ref="R66:R101" si="49">IF(OR($A66="",$B66=""),"",SUMIFS($H$2:$H$101,$B$2:$B$101,$B66,$A$2:$A$101,"&gt;="&amp;DATE(YEAR($A66)-1,1,1),$A$2:$A$101,"&lt;="&amp;EDATE($A66,-12)))</f>
        <v/>
      </c>
      <c r="S66" s="9" t="str">
        <f t="shared" ref="S66:S101" si="50">IF(OR($Q66="",$R66="",$R66=0),"",$Q66/$R66-1)</f>
        <v/>
      </c>
      <c r="T66" s="8" t="str">
        <f t="shared" ref="T66:T101" si="51">IF(OR($A66="",$B66=""),"",SUMIFS($I$2:$I$101,$B$2:$B$101,$B66,$A$2:$A$101,EDATE($A66,-1)))</f>
        <v/>
      </c>
      <c r="U66" s="9" t="str">
        <f t="shared" ref="U66:U101" si="52">IF(OR($I66="",$T66="",$T66=0),"",$I66/$T66-1)</f>
        <v/>
      </c>
      <c r="V66" s="8" t="str">
        <f t="shared" ref="V66:V101" si="53">IF(OR($A66="",$B66=""),"",SUMIFS($I$2:$I$101,$B$2:$B$101,$B66,$A$2:$A$101,EDATE($A66,-12)))</f>
        <v/>
      </c>
      <c r="W66" s="9" t="str">
        <f t="shared" ref="W66:W101" si="54">IF(OR($I66="",$V66="",$V66=0),"",$I66/$V66-1)</f>
        <v/>
      </c>
      <c r="X66" s="8" t="str">
        <f t="shared" ref="X66:X101" si="55">IF(OR($A66="",$B66=""),"",SUMIFS($I$2:$I$101,$B$2:$B$101,$B66,$A$2:$A$101,"&gt;="&amp;DATE(YEAR($A66),1,1),$A$2:$A$101,"&lt;="&amp;$A66))</f>
        <v/>
      </c>
      <c r="Y66" s="8" t="str">
        <f t="shared" ref="Y66:Y101" si="56">IF(OR($A66="",$B66=""),"",SUMIFS($I$2:$I$101,$B$2:$B$101,$B66,$A$2:$A$101,"&gt;="&amp;DATE(YEAR($A66)-1,1,1),$A$2:$A$101,"&lt;="&amp;EDATE($A66,-12)))</f>
        <v/>
      </c>
      <c r="Z66" s="9" t="str">
        <f t="shared" ref="Z66:Z101" si="57">IF(OR($X66="",$Y66="",$Y66=0),"",$X66/$Y66-1)</f>
        <v/>
      </c>
      <c r="AA66" s="8" t="str">
        <f t="shared" ref="AA66:AA101" si="58">IF(OR($A66="",$B66=""),"",SUMIFS($J$2:$J$101,$B$2:$B$101,$B66,$A$2:$A$101,EDATE($A66,-1)))</f>
        <v/>
      </c>
      <c r="AB66" s="9" t="str">
        <f t="shared" ref="AB66:AB101" si="59">IF(OR($J66="",$AA66="",$AA66=0),"",$J66/$AA66-1)</f>
        <v/>
      </c>
      <c r="AC66" s="8" t="str">
        <f t="shared" ref="AC66:AC101" si="60">IF(OR($A66="",$B66=""),"",SUMIFS($J$2:$J$101,$B$2:$B$101,$B66,$A$2:$A$101,EDATE($A66,-12)))</f>
        <v/>
      </c>
      <c r="AD66" s="9" t="str">
        <f t="shared" ref="AD66:AD101" si="61">IF(OR($J66="",$AC66="",$AC66=0),"",$J66/$AC66-1)</f>
        <v/>
      </c>
      <c r="AE66" s="8" t="str">
        <f t="shared" ref="AE66:AE101" si="62">IF(OR($A66="",$B66=""),"",SUMIFS($J$2:$J$101,$B$2:$B$101,$B66,$A$2:$A$101,"&gt;="&amp;DATE(YEAR($A66),1,1),$A$2:$A$101,"&lt;="&amp;$A66))</f>
        <v/>
      </c>
      <c r="AF66" s="8" t="str">
        <f t="shared" ref="AF66:AF101" si="63">IF(OR($A66="",$B66=""),"",SUMIFS($J$2:$J$101,$B$2:$B$101,$B66,$A$2:$A$101,"&gt;="&amp;DATE(YEAR($A66)-1,1,1),$A$2:$A$101,"&lt;="&amp;EDATE($A66,-12)))</f>
        <v/>
      </c>
      <c r="AG66" s="9" t="str">
        <f t="shared" ref="AG66:AG101" si="64">IF(OR($AE66="",$AF66="",$AF66=0),"",$AE66/$AF66-1)</f>
        <v/>
      </c>
      <c r="AH66" s="5" t="str">
        <f t="shared" ref="AH66:AH101" si="65">IF(OR($A66="",$B66=""),"",IF(OR($P66&lt;-10%,$W66&lt;-10%,$AD66&lt;-10%),"ĐỎ - Giảm &gt;10% so cùng kỳ",IF(OR($N66&lt;-10%,$U66&lt;-10%,$AB66&lt;-10%),"VÀNG - Giảm &gt;10% so tháng trước","BÌNH THƯỜNG")))</f>
        <v/>
      </c>
      <c r="AI66" s="12" t="str">
        <f>IFERROR(VLOOKUP($B66,DM_Doanh_nghiep!$A$2:$I$1501,9,FALSE),"")</f>
        <v/>
      </c>
    </row>
    <row r="67" spans="1:35">
      <c r="A67" s="3"/>
      <c r="B67" s="4"/>
      <c r="C67" s="5" t="str">
        <f>IFERROR(VLOOKUP($B67,DM_Doanh_nghiep!$A$2:$H$1001,2,FALSE),"")</f>
        <v/>
      </c>
      <c r="D67" s="5" t="str">
        <f>IFERROR(VLOOKUP($B67,DM_Doanh_nghiep!$A$2:$H$1001,4,FALSE),"")</f>
        <v/>
      </c>
      <c r="E67" s="5" t="str">
        <f>IFERROR(VLOOKUP($B67,DM_Doanh_nghiep!$A$2:$H$1001,5,FALSE),"")</f>
        <v/>
      </c>
      <c r="F67" s="6"/>
      <c r="G67" s="6"/>
      <c r="H67" s="7"/>
      <c r="I67" s="7"/>
      <c r="J67" s="7"/>
      <c r="K67" s="6"/>
      <c r="L67" s="6"/>
      <c r="M67" s="8" t="str">
        <f t="shared" si="44"/>
        <v/>
      </c>
      <c r="N67" s="9" t="str">
        <f t="shared" si="45"/>
        <v/>
      </c>
      <c r="O67" s="8" t="str">
        <f t="shared" si="46"/>
        <v/>
      </c>
      <c r="P67" s="9" t="str">
        <f t="shared" si="47"/>
        <v/>
      </c>
      <c r="Q67" s="8" t="str">
        <f t="shared" si="48"/>
        <v/>
      </c>
      <c r="R67" s="8" t="str">
        <f t="shared" si="49"/>
        <v/>
      </c>
      <c r="S67" s="9" t="str">
        <f t="shared" si="50"/>
        <v/>
      </c>
      <c r="T67" s="8" t="str">
        <f t="shared" si="51"/>
        <v/>
      </c>
      <c r="U67" s="9" t="str">
        <f t="shared" si="52"/>
        <v/>
      </c>
      <c r="V67" s="8" t="str">
        <f t="shared" si="53"/>
        <v/>
      </c>
      <c r="W67" s="9" t="str">
        <f t="shared" si="54"/>
        <v/>
      </c>
      <c r="X67" s="8" t="str">
        <f t="shared" si="55"/>
        <v/>
      </c>
      <c r="Y67" s="8" t="str">
        <f t="shared" si="56"/>
        <v/>
      </c>
      <c r="Z67" s="9" t="str">
        <f t="shared" si="57"/>
        <v/>
      </c>
      <c r="AA67" s="8" t="str">
        <f t="shared" si="58"/>
        <v/>
      </c>
      <c r="AB67" s="9" t="str">
        <f t="shared" si="59"/>
        <v/>
      </c>
      <c r="AC67" s="8" t="str">
        <f t="shared" si="60"/>
        <v/>
      </c>
      <c r="AD67" s="9" t="str">
        <f t="shared" si="61"/>
        <v/>
      </c>
      <c r="AE67" s="8" t="str">
        <f t="shared" si="62"/>
        <v/>
      </c>
      <c r="AF67" s="8" t="str">
        <f t="shared" si="63"/>
        <v/>
      </c>
      <c r="AG67" s="9" t="str">
        <f t="shared" si="64"/>
        <v/>
      </c>
      <c r="AH67" s="5" t="str">
        <f t="shared" si="65"/>
        <v/>
      </c>
      <c r="AI67" s="12" t="str">
        <f>IFERROR(VLOOKUP($B67,DM_Doanh_nghiep!$A$2:$I$1501,9,FALSE),"")</f>
        <v/>
      </c>
    </row>
    <row r="68" spans="1:35">
      <c r="A68" s="3"/>
      <c r="B68" s="4"/>
      <c r="C68" s="5" t="str">
        <f>IFERROR(VLOOKUP($B68,DM_Doanh_nghiep!$A$2:$H$1001,2,FALSE),"")</f>
        <v/>
      </c>
      <c r="D68" s="5" t="str">
        <f>IFERROR(VLOOKUP($B68,DM_Doanh_nghiep!$A$2:$H$1001,4,FALSE),"")</f>
        <v/>
      </c>
      <c r="E68" s="5" t="str">
        <f>IFERROR(VLOOKUP($B68,DM_Doanh_nghiep!$A$2:$H$1001,5,FALSE),"")</f>
        <v/>
      </c>
      <c r="F68" s="6"/>
      <c r="G68" s="6"/>
      <c r="H68" s="7"/>
      <c r="I68" s="7"/>
      <c r="J68" s="7"/>
      <c r="K68" s="6"/>
      <c r="L68" s="6"/>
      <c r="M68" s="8" t="str">
        <f t="shared" si="44"/>
        <v/>
      </c>
      <c r="N68" s="9" t="str">
        <f t="shared" si="45"/>
        <v/>
      </c>
      <c r="O68" s="8" t="str">
        <f t="shared" si="46"/>
        <v/>
      </c>
      <c r="P68" s="9" t="str">
        <f t="shared" si="47"/>
        <v/>
      </c>
      <c r="Q68" s="8" t="str">
        <f t="shared" si="48"/>
        <v/>
      </c>
      <c r="R68" s="8" t="str">
        <f t="shared" si="49"/>
        <v/>
      </c>
      <c r="S68" s="9" t="str">
        <f t="shared" si="50"/>
        <v/>
      </c>
      <c r="T68" s="8" t="str">
        <f t="shared" si="51"/>
        <v/>
      </c>
      <c r="U68" s="9" t="str">
        <f t="shared" si="52"/>
        <v/>
      </c>
      <c r="V68" s="8" t="str">
        <f t="shared" si="53"/>
        <v/>
      </c>
      <c r="W68" s="9" t="str">
        <f t="shared" si="54"/>
        <v/>
      </c>
      <c r="X68" s="8" t="str">
        <f t="shared" si="55"/>
        <v/>
      </c>
      <c r="Y68" s="8" t="str">
        <f t="shared" si="56"/>
        <v/>
      </c>
      <c r="Z68" s="9" t="str">
        <f t="shared" si="57"/>
        <v/>
      </c>
      <c r="AA68" s="8" t="str">
        <f t="shared" si="58"/>
        <v/>
      </c>
      <c r="AB68" s="9" t="str">
        <f t="shared" si="59"/>
        <v/>
      </c>
      <c r="AC68" s="8" t="str">
        <f t="shared" si="60"/>
        <v/>
      </c>
      <c r="AD68" s="9" t="str">
        <f t="shared" si="61"/>
        <v/>
      </c>
      <c r="AE68" s="8" t="str">
        <f t="shared" si="62"/>
        <v/>
      </c>
      <c r="AF68" s="8" t="str">
        <f t="shared" si="63"/>
        <v/>
      </c>
      <c r="AG68" s="9" t="str">
        <f t="shared" si="64"/>
        <v/>
      </c>
      <c r="AH68" s="5" t="str">
        <f t="shared" si="65"/>
        <v/>
      </c>
      <c r="AI68" s="12" t="str">
        <f>IFERROR(VLOOKUP($B68,DM_Doanh_nghiep!$A$2:$I$1501,9,FALSE),"")</f>
        <v/>
      </c>
    </row>
    <row r="69" spans="1:35">
      <c r="A69" s="3"/>
      <c r="B69" s="4"/>
      <c r="C69" s="5" t="str">
        <f>IFERROR(VLOOKUP($B69,DM_Doanh_nghiep!$A$2:$H$1001,2,FALSE),"")</f>
        <v/>
      </c>
      <c r="D69" s="5" t="str">
        <f>IFERROR(VLOOKUP($B69,DM_Doanh_nghiep!$A$2:$H$1001,4,FALSE),"")</f>
        <v/>
      </c>
      <c r="E69" s="5" t="str">
        <f>IFERROR(VLOOKUP($B69,DM_Doanh_nghiep!$A$2:$H$1001,5,FALSE),"")</f>
        <v/>
      </c>
      <c r="F69" s="6"/>
      <c r="G69" s="6"/>
      <c r="H69" s="7"/>
      <c r="I69" s="7"/>
      <c r="J69" s="7"/>
      <c r="K69" s="6"/>
      <c r="L69" s="6"/>
      <c r="M69" s="8" t="str">
        <f t="shared" si="44"/>
        <v/>
      </c>
      <c r="N69" s="9" t="str">
        <f t="shared" si="45"/>
        <v/>
      </c>
      <c r="O69" s="8" t="str">
        <f t="shared" si="46"/>
        <v/>
      </c>
      <c r="P69" s="9" t="str">
        <f t="shared" si="47"/>
        <v/>
      </c>
      <c r="Q69" s="8" t="str">
        <f t="shared" si="48"/>
        <v/>
      </c>
      <c r="R69" s="8" t="str">
        <f t="shared" si="49"/>
        <v/>
      </c>
      <c r="S69" s="9" t="str">
        <f t="shared" si="50"/>
        <v/>
      </c>
      <c r="T69" s="8" t="str">
        <f t="shared" si="51"/>
        <v/>
      </c>
      <c r="U69" s="9" t="str">
        <f t="shared" si="52"/>
        <v/>
      </c>
      <c r="V69" s="8" t="str">
        <f t="shared" si="53"/>
        <v/>
      </c>
      <c r="W69" s="9" t="str">
        <f t="shared" si="54"/>
        <v/>
      </c>
      <c r="X69" s="8" t="str">
        <f t="shared" si="55"/>
        <v/>
      </c>
      <c r="Y69" s="8" t="str">
        <f t="shared" si="56"/>
        <v/>
      </c>
      <c r="Z69" s="9" t="str">
        <f t="shared" si="57"/>
        <v/>
      </c>
      <c r="AA69" s="8" t="str">
        <f t="shared" si="58"/>
        <v/>
      </c>
      <c r="AB69" s="9" t="str">
        <f t="shared" si="59"/>
        <v/>
      </c>
      <c r="AC69" s="8" t="str">
        <f t="shared" si="60"/>
        <v/>
      </c>
      <c r="AD69" s="9" t="str">
        <f t="shared" si="61"/>
        <v/>
      </c>
      <c r="AE69" s="8" t="str">
        <f t="shared" si="62"/>
        <v/>
      </c>
      <c r="AF69" s="8" t="str">
        <f t="shared" si="63"/>
        <v/>
      </c>
      <c r="AG69" s="9" t="str">
        <f t="shared" si="64"/>
        <v/>
      </c>
      <c r="AH69" s="5" t="str">
        <f t="shared" si="65"/>
        <v/>
      </c>
      <c r="AI69" s="12" t="str">
        <f>IFERROR(VLOOKUP($B69,DM_Doanh_nghiep!$A$2:$I$1501,9,FALSE),"")</f>
        <v/>
      </c>
    </row>
    <row r="70" spans="1:35">
      <c r="A70" s="3"/>
      <c r="B70" s="4"/>
      <c r="C70" s="5" t="str">
        <f>IFERROR(VLOOKUP($B70,DM_Doanh_nghiep!$A$2:$H$1001,2,FALSE),"")</f>
        <v/>
      </c>
      <c r="D70" s="5" t="str">
        <f>IFERROR(VLOOKUP($B70,DM_Doanh_nghiep!$A$2:$H$1001,4,FALSE),"")</f>
        <v/>
      </c>
      <c r="E70" s="5" t="str">
        <f>IFERROR(VLOOKUP($B70,DM_Doanh_nghiep!$A$2:$H$1001,5,FALSE),"")</f>
        <v/>
      </c>
      <c r="F70" s="6"/>
      <c r="G70" s="6"/>
      <c r="H70" s="7"/>
      <c r="I70" s="7"/>
      <c r="J70" s="7"/>
      <c r="K70" s="6"/>
      <c r="L70" s="6"/>
      <c r="M70" s="8" t="str">
        <f t="shared" si="44"/>
        <v/>
      </c>
      <c r="N70" s="9" t="str">
        <f t="shared" si="45"/>
        <v/>
      </c>
      <c r="O70" s="8" t="str">
        <f t="shared" si="46"/>
        <v/>
      </c>
      <c r="P70" s="9" t="str">
        <f t="shared" si="47"/>
        <v/>
      </c>
      <c r="Q70" s="8" t="str">
        <f t="shared" si="48"/>
        <v/>
      </c>
      <c r="R70" s="8" t="str">
        <f t="shared" si="49"/>
        <v/>
      </c>
      <c r="S70" s="9" t="str">
        <f t="shared" si="50"/>
        <v/>
      </c>
      <c r="T70" s="8" t="str">
        <f t="shared" si="51"/>
        <v/>
      </c>
      <c r="U70" s="9" t="str">
        <f t="shared" si="52"/>
        <v/>
      </c>
      <c r="V70" s="8" t="str">
        <f t="shared" si="53"/>
        <v/>
      </c>
      <c r="W70" s="9" t="str">
        <f t="shared" si="54"/>
        <v/>
      </c>
      <c r="X70" s="8" t="str">
        <f t="shared" si="55"/>
        <v/>
      </c>
      <c r="Y70" s="8" t="str">
        <f t="shared" si="56"/>
        <v/>
      </c>
      <c r="Z70" s="9" t="str">
        <f t="shared" si="57"/>
        <v/>
      </c>
      <c r="AA70" s="8" t="str">
        <f t="shared" si="58"/>
        <v/>
      </c>
      <c r="AB70" s="9" t="str">
        <f t="shared" si="59"/>
        <v/>
      </c>
      <c r="AC70" s="8" t="str">
        <f t="shared" si="60"/>
        <v/>
      </c>
      <c r="AD70" s="9" t="str">
        <f t="shared" si="61"/>
        <v/>
      </c>
      <c r="AE70" s="8" t="str">
        <f t="shared" si="62"/>
        <v/>
      </c>
      <c r="AF70" s="8" t="str">
        <f t="shared" si="63"/>
        <v/>
      </c>
      <c r="AG70" s="9" t="str">
        <f t="shared" si="64"/>
        <v/>
      </c>
      <c r="AH70" s="5" t="str">
        <f t="shared" si="65"/>
        <v/>
      </c>
      <c r="AI70" s="12" t="str">
        <f>IFERROR(VLOOKUP($B70,DM_Doanh_nghiep!$A$2:$I$1501,9,FALSE),"")</f>
        <v/>
      </c>
    </row>
    <row r="71" spans="1:35">
      <c r="A71" s="3"/>
      <c r="B71" s="4"/>
      <c r="C71" s="5" t="str">
        <f>IFERROR(VLOOKUP($B71,DM_Doanh_nghiep!$A$2:$H$1001,2,FALSE),"")</f>
        <v/>
      </c>
      <c r="D71" s="5" t="str">
        <f>IFERROR(VLOOKUP($B71,DM_Doanh_nghiep!$A$2:$H$1001,4,FALSE),"")</f>
        <v/>
      </c>
      <c r="E71" s="5" t="str">
        <f>IFERROR(VLOOKUP($B71,DM_Doanh_nghiep!$A$2:$H$1001,5,FALSE),"")</f>
        <v/>
      </c>
      <c r="F71" s="6"/>
      <c r="G71" s="6"/>
      <c r="H71" s="7"/>
      <c r="I71" s="7"/>
      <c r="J71" s="7"/>
      <c r="K71" s="6"/>
      <c r="L71" s="6"/>
      <c r="M71" s="8" t="str">
        <f t="shared" si="44"/>
        <v/>
      </c>
      <c r="N71" s="9" t="str">
        <f t="shared" si="45"/>
        <v/>
      </c>
      <c r="O71" s="8" t="str">
        <f t="shared" si="46"/>
        <v/>
      </c>
      <c r="P71" s="9" t="str">
        <f t="shared" si="47"/>
        <v/>
      </c>
      <c r="Q71" s="8" t="str">
        <f t="shared" si="48"/>
        <v/>
      </c>
      <c r="R71" s="8" t="str">
        <f t="shared" si="49"/>
        <v/>
      </c>
      <c r="S71" s="9" t="str">
        <f t="shared" si="50"/>
        <v/>
      </c>
      <c r="T71" s="8" t="str">
        <f t="shared" si="51"/>
        <v/>
      </c>
      <c r="U71" s="9" t="str">
        <f t="shared" si="52"/>
        <v/>
      </c>
      <c r="V71" s="8" t="str">
        <f t="shared" si="53"/>
        <v/>
      </c>
      <c r="W71" s="9" t="str">
        <f t="shared" si="54"/>
        <v/>
      </c>
      <c r="X71" s="8" t="str">
        <f t="shared" si="55"/>
        <v/>
      </c>
      <c r="Y71" s="8" t="str">
        <f t="shared" si="56"/>
        <v/>
      </c>
      <c r="Z71" s="9" t="str">
        <f t="shared" si="57"/>
        <v/>
      </c>
      <c r="AA71" s="8" t="str">
        <f t="shared" si="58"/>
        <v/>
      </c>
      <c r="AB71" s="9" t="str">
        <f t="shared" si="59"/>
        <v/>
      </c>
      <c r="AC71" s="8" t="str">
        <f t="shared" si="60"/>
        <v/>
      </c>
      <c r="AD71" s="9" t="str">
        <f t="shared" si="61"/>
        <v/>
      </c>
      <c r="AE71" s="8" t="str">
        <f t="shared" si="62"/>
        <v/>
      </c>
      <c r="AF71" s="8" t="str">
        <f t="shared" si="63"/>
        <v/>
      </c>
      <c r="AG71" s="9" t="str">
        <f t="shared" si="64"/>
        <v/>
      </c>
      <c r="AH71" s="5" t="str">
        <f t="shared" si="65"/>
        <v/>
      </c>
      <c r="AI71" s="12" t="str">
        <f>IFERROR(VLOOKUP($B71,DM_Doanh_nghiep!$A$2:$I$1501,9,FALSE),"")</f>
        <v/>
      </c>
    </row>
    <row r="72" spans="1:35">
      <c r="A72" s="3"/>
      <c r="B72" s="4"/>
      <c r="C72" s="5" t="str">
        <f>IFERROR(VLOOKUP($B72,DM_Doanh_nghiep!$A$2:$H$1001,2,FALSE),"")</f>
        <v/>
      </c>
      <c r="D72" s="5" t="str">
        <f>IFERROR(VLOOKUP($B72,DM_Doanh_nghiep!$A$2:$H$1001,4,FALSE),"")</f>
        <v/>
      </c>
      <c r="E72" s="5" t="str">
        <f>IFERROR(VLOOKUP($B72,DM_Doanh_nghiep!$A$2:$H$1001,5,FALSE),"")</f>
        <v/>
      </c>
      <c r="F72" s="6"/>
      <c r="G72" s="6"/>
      <c r="H72" s="7"/>
      <c r="I72" s="7"/>
      <c r="J72" s="7"/>
      <c r="K72" s="6"/>
      <c r="L72" s="6"/>
      <c r="M72" s="8" t="str">
        <f t="shared" si="44"/>
        <v/>
      </c>
      <c r="N72" s="9" t="str">
        <f t="shared" si="45"/>
        <v/>
      </c>
      <c r="O72" s="8" t="str">
        <f t="shared" si="46"/>
        <v/>
      </c>
      <c r="P72" s="9" t="str">
        <f t="shared" si="47"/>
        <v/>
      </c>
      <c r="Q72" s="8" t="str">
        <f t="shared" si="48"/>
        <v/>
      </c>
      <c r="R72" s="8" t="str">
        <f t="shared" si="49"/>
        <v/>
      </c>
      <c r="S72" s="9" t="str">
        <f t="shared" si="50"/>
        <v/>
      </c>
      <c r="T72" s="8" t="str">
        <f t="shared" si="51"/>
        <v/>
      </c>
      <c r="U72" s="9" t="str">
        <f t="shared" si="52"/>
        <v/>
      </c>
      <c r="V72" s="8" t="str">
        <f t="shared" si="53"/>
        <v/>
      </c>
      <c r="W72" s="9" t="str">
        <f t="shared" si="54"/>
        <v/>
      </c>
      <c r="X72" s="8" t="str">
        <f t="shared" si="55"/>
        <v/>
      </c>
      <c r="Y72" s="8" t="str">
        <f t="shared" si="56"/>
        <v/>
      </c>
      <c r="Z72" s="9" t="str">
        <f t="shared" si="57"/>
        <v/>
      </c>
      <c r="AA72" s="8" t="str">
        <f t="shared" si="58"/>
        <v/>
      </c>
      <c r="AB72" s="9" t="str">
        <f t="shared" si="59"/>
        <v/>
      </c>
      <c r="AC72" s="8" t="str">
        <f t="shared" si="60"/>
        <v/>
      </c>
      <c r="AD72" s="9" t="str">
        <f t="shared" si="61"/>
        <v/>
      </c>
      <c r="AE72" s="8" t="str">
        <f t="shared" si="62"/>
        <v/>
      </c>
      <c r="AF72" s="8" t="str">
        <f t="shared" si="63"/>
        <v/>
      </c>
      <c r="AG72" s="9" t="str">
        <f t="shared" si="64"/>
        <v/>
      </c>
      <c r="AH72" s="5" t="str">
        <f t="shared" si="65"/>
        <v/>
      </c>
      <c r="AI72" s="12" t="str">
        <f>IFERROR(VLOOKUP($B72,DM_Doanh_nghiep!$A$2:$I$1501,9,FALSE),"")</f>
        <v/>
      </c>
    </row>
    <row r="73" spans="1:35">
      <c r="A73" s="3"/>
      <c r="B73" s="4"/>
      <c r="C73" s="5" t="str">
        <f>IFERROR(VLOOKUP($B73,DM_Doanh_nghiep!$A$2:$H$1001,2,FALSE),"")</f>
        <v/>
      </c>
      <c r="D73" s="5" t="str">
        <f>IFERROR(VLOOKUP($B73,DM_Doanh_nghiep!$A$2:$H$1001,4,FALSE),"")</f>
        <v/>
      </c>
      <c r="E73" s="5" t="str">
        <f>IFERROR(VLOOKUP($B73,DM_Doanh_nghiep!$A$2:$H$1001,5,FALSE),"")</f>
        <v/>
      </c>
      <c r="F73" s="6"/>
      <c r="G73" s="6"/>
      <c r="H73" s="7"/>
      <c r="I73" s="7"/>
      <c r="J73" s="7"/>
      <c r="K73" s="6"/>
      <c r="L73" s="6"/>
      <c r="M73" s="8" t="str">
        <f t="shared" si="44"/>
        <v/>
      </c>
      <c r="N73" s="9" t="str">
        <f t="shared" si="45"/>
        <v/>
      </c>
      <c r="O73" s="8" t="str">
        <f t="shared" si="46"/>
        <v/>
      </c>
      <c r="P73" s="9" t="str">
        <f t="shared" si="47"/>
        <v/>
      </c>
      <c r="Q73" s="8" t="str">
        <f t="shared" si="48"/>
        <v/>
      </c>
      <c r="R73" s="8" t="str">
        <f t="shared" si="49"/>
        <v/>
      </c>
      <c r="S73" s="9" t="str">
        <f t="shared" si="50"/>
        <v/>
      </c>
      <c r="T73" s="8" t="str">
        <f t="shared" si="51"/>
        <v/>
      </c>
      <c r="U73" s="9" t="str">
        <f t="shared" si="52"/>
        <v/>
      </c>
      <c r="V73" s="8" t="str">
        <f t="shared" si="53"/>
        <v/>
      </c>
      <c r="W73" s="9" t="str">
        <f t="shared" si="54"/>
        <v/>
      </c>
      <c r="X73" s="8" t="str">
        <f t="shared" si="55"/>
        <v/>
      </c>
      <c r="Y73" s="8" t="str">
        <f t="shared" si="56"/>
        <v/>
      </c>
      <c r="Z73" s="9" t="str">
        <f t="shared" si="57"/>
        <v/>
      </c>
      <c r="AA73" s="8" t="str">
        <f t="shared" si="58"/>
        <v/>
      </c>
      <c r="AB73" s="9" t="str">
        <f t="shared" si="59"/>
        <v/>
      </c>
      <c r="AC73" s="8" t="str">
        <f t="shared" si="60"/>
        <v/>
      </c>
      <c r="AD73" s="9" t="str">
        <f t="shared" si="61"/>
        <v/>
      </c>
      <c r="AE73" s="8" t="str">
        <f t="shared" si="62"/>
        <v/>
      </c>
      <c r="AF73" s="8" t="str">
        <f t="shared" si="63"/>
        <v/>
      </c>
      <c r="AG73" s="9" t="str">
        <f t="shared" si="64"/>
        <v/>
      </c>
      <c r="AH73" s="5" t="str">
        <f t="shared" si="65"/>
        <v/>
      </c>
      <c r="AI73" s="12" t="str">
        <f>IFERROR(VLOOKUP($B73,DM_Doanh_nghiep!$A$2:$I$1501,9,FALSE),"")</f>
        <v/>
      </c>
    </row>
    <row r="74" spans="1:35">
      <c r="A74" s="3"/>
      <c r="B74" s="4"/>
      <c r="C74" s="5" t="str">
        <f>IFERROR(VLOOKUP($B74,DM_Doanh_nghiep!$A$2:$H$1001,2,FALSE),"")</f>
        <v/>
      </c>
      <c r="D74" s="5" t="str">
        <f>IFERROR(VLOOKUP($B74,DM_Doanh_nghiep!$A$2:$H$1001,4,FALSE),"")</f>
        <v/>
      </c>
      <c r="E74" s="5" t="str">
        <f>IFERROR(VLOOKUP($B74,DM_Doanh_nghiep!$A$2:$H$1001,5,FALSE),"")</f>
        <v/>
      </c>
      <c r="F74" s="6"/>
      <c r="G74" s="6"/>
      <c r="H74" s="7"/>
      <c r="I74" s="7"/>
      <c r="J74" s="7"/>
      <c r="K74" s="6"/>
      <c r="L74" s="6"/>
      <c r="M74" s="8" t="str">
        <f t="shared" si="44"/>
        <v/>
      </c>
      <c r="N74" s="9" t="str">
        <f t="shared" si="45"/>
        <v/>
      </c>
      <c r="O74" s="8" t="str">
        <f t="shared" si="46"/>
        <v/>
      </c>
      <c r="P74" s="9" t="str">
        <f t="shared" si="47"/>
        <v/>
      </c>
      <c r="Q74" s="8" t="str">
        <f t="shared" si="48"/>
        <v/>
      </c>
      <c r="R74" s="8" t="str">
        <f t="shared" si="49"/>
        <v/>
      </c>
      <c r="S74" s="9" t="str">
        <f t="shared" si="50"/>
        <v/>
      </c>
      <c r="T74" s="8" t="str">
        <f t="shared" si="51"/>
        <v/>
      </c>
      <c r="U74" s="9" t="str">
        <f t="shared" si="52"/>
        <v/>
      </c>
      <c r="V74" s="8" t="str">
        <f t="shared" si="53"/>
        <v/>
      </c>
      <c r="W74" s="9" t="str">
        <f t="shared" si="54"/>
        <v/>
      </c>
      <c r="X74" s="8" t="str">
        <f t="shared" si="55"/>
        <v/>
      </c>
      <c r="Y74" s="8" t="str">
        <f t="shared" si="56"/>
        <v/>
      </c>
      <c r="Z74" s="9" t="str">
        <f t="shared" si="57"/>
        <v/>
      </c>
      <c r="AA74" s="8" t="str">
        <f t="shared" si="58"/>
        <v/>
      </c>
      <c r="AB74" s="9" t="str">
        <f t="shared" si="59"/>
        <v/>
      </c>
      <c r="AC74" s="8" t="str">
        <f t="shared" si="60"/>
        <v/>
      </c>
      <c r="AD74" s="9" t="str">
        <f t="shared" si="61"/>
        <v/>
      </c>
      <c r="AE74" s="8" t="str">
        <f t="shared" si="62"/>
        <v/>
      </c>
      <c r="AF74" s="8" t="str">
        <f t="shared" si="63"/>
        <v/>
      </c>
      <c r="AG74" s="9" t="str">
        <f t="shared" si="64"/>
        <v/>
      </c>
      <c r="AH74" s="5" t="str">
        <f t="shared" si="65"/>
        <v/>
      </c>
      <c r="AI74" s="12" t="str">
        <f>IFERROR(VLOOKUP($B74,DM_Doanh_nghiep!$A$2:$I$1501,9,FALSE),"")</f>
        <v/>
      </c>
    </row>
    <row r="75" spans="1:35">
      <c r="A75" s="3"/>
      <c r="B75" s="4"/>
      <c r="C75" s="5" t="str">
        <f>IFERROR(VLOOKUP($B75,DM_Doanh_nghiep!$A$2:$H$1001,2,FALSE),"")</f>
        <v/>
      </c>
      <c r="D75" s="5" t="str">
        <f>IFERROR(VLOOKUP($B75,DM_Doanh_nghiep!$A$2:$H$1001,4,FALSE),"")</f>
        <v/>
      </c>
      <c r="E75" s="5" t="str">
        <f>IFERROR(VLOOKUP($B75,DM_Doanh_nghiep!$A$2:$H$1001,5,FALSE),"")</f>
        <v/>
      </c>
      <c r="F75" s="6"/>
      <c r="G75" s="6"/>
      <c r="H75" s="7"/>
      <c r="I75" s="7"/>
      <c r="J75" s="7"/>
      <c r="K75" s="6"/>
      <c r="L75" s="6"/>
      <c r="M75" s="8" t="str">
        <f t="shared" si="44"/>
        <v/>
      </c>
      <c r="N75" s="9" t="str">
        <f t="shared" si="45"/>
        <v/>
      </c>
      <c r="O75" s="8" t="str">
        <f t="shared" si="46"/>
        <v/>
      </c>
      <c r="P75" s="9" t="str">
        <f t="shared" si="47"/>
        <v/>
      </c>
      <c r="Q75" s="8" t="str">
        <f t="shared" si="48"/>
        <v/>
      </c>
      <c r="R75" s="8" t="str">
        <f t="shared" si="49"/>
        <v/>
      </c>
      <c r="S75" s="9" t="str">
        <f t="shared" si="50"/>
        <v/>
      </c>
      <c r="T75" s="8" t="str">
        <f t="shared" si="51"/>
        <v/>
      </c>
      <c r="U75" s="9" t="str">
        <f t="shared" si="52"/>
        <v/>
      </c>
      <c r="V75" s="8" t="str">
        <f t="shared" si="53"/>
        <v/>
      </c>
      <c r="W75" s="9" t="str">
        <f t="shared" si="54"/>
        <v/>
      </c>
      <c r="X75" s="8" t="str">
        <f t="shared" si="55"/>
        <v/>
      </c>
      <c r="Y75" s="8" t="str">
        <f t="shared" si="56"/>
        <v/>
      </c>
      <c r="Z75" s="9" t="str">
        <f t="shared" si="57"/>
        <v/>
      </c>
      <c r="AA75" s="8" t="str">
        <f t="shared" si="58"/>
        <v/>
      </c>
      <c r="AB75" s="9" t="str">
        <f t="shared" si="59"/>
        <v/>
      </c>
      <c r="AC75" s="8" t="str">
        <f t="shared" si="60"/>
        <v/>
      </c>
      <c r="AD75" s="9" t="str">
        <f t="shared" si="61"/>
        <v/>
      </c>
      <c r="AE75" s="8" t="str">
        <f t="shared" si="62"/>
        <v/>
      </c>
      <c r="AF75" s="8" t="str">
        <f t="shared" si="63"/>
        <v/>
      </c>
      <c r="AG75" s="9" t="str">
        <f t="shared" si="64"/>
        <v/>
      </c>
      <c r="AH75" s="5" t="str">
        <f t="shared" si="65"/>
        <v/>
      </c>
      <c r="AI75" s="12" t="str">
        <f>IFERROR(VLOOKUP($B75,DM_Doanh_nghiep!$A$2:$I$1501,9,FALSE),"")</f>
        <v/>
      </c>
    </row>
    <row r="76" spans="1:35">
      <c r="A76" s="3"/>
      <c r="B76" s="4"/>
      <c r="C76" s="5" t="str">
        <f>IFERROR(VLOOKUP($B76,DM_Doanh_nghiep!$A$2:$H$1001,2,FALSE),"")</f>
        <v/>
      </c>
      <c r="D76" s="5" t="str">
        <f>IFERROR(VLOOKUP($B76,DM_Doanh_nghiep!$A$2:$H$1001,4,FALSE),"")</f>
        <v/>
      </c>
      <c r="E76" s="5" t="str">
        <f>IFERROR(VLOOKUP($B76,DM_Doanh_nghiep!$A$2:$H$1001,5,FALSE),"")</f>
        <v/>
      </c>
      <c r="F76" s="6"/>
      <c r="G76" s="6"/>
      <c r="H76" s="7"/>
      <c r="I76" s="7"/>
      <c r="J76" s="7"/>
      <c r="K76" s="6"/>
      <c r="L76" s="6"/>
      <c r="M76" s="8" t="str">
        <f t="shared" si="44"/>
        <v/>
      </c>
      <c r="N76" s="9" t="str">
        <f t="shared" si="45"/>
        <v/>
      </c>
      <c r="O76" s="8" t="str">
        <f t="shared" si="46"/>
        <v/>
      </c>
      <c r="P76" s="9" t="str">
        <f t="shared" si="47"/>
        <v/>
      </c>
      <c r="Q76" s="8" t="str">
        <f t="shared" si="48"/>
        <v/>
      </c>
      <c r="R76" s="8" t="str">
        <f t="shared" si="49"/>
        <v/>
      </c>
      <c r="S76" s="9" t="str">
        <f t="shared" si="50"/>
        <v/>
      </c>
      <c r="T76" s="8" t="str">
        <f t="shared" si="51"/>
        <v/>
      </c>
      <c r="U76" s="9" t="str">
        <f t="shared" si="52"/>
        <v/>
      </c>
      <c r="V76" s="8" t="str">
        <f t="shared" si="53"/>
        <v/>
      </c>
      <c r="W76" s="9" t="str">
        <f t="shared" si="54"/>
        <v/>
      </c>
      <c r="X76" s="8" t="str">
        <f t="shared" si="55"/>
        <v/>
      </c>
      <c r="Y76" s="8" t="str">
        <f t="shared" si="56"/>
        <v/>
      </c>
      <c r="Z76" s="9" t="str">
        <f t="shared" si="57"/>
        <v/>
      </c>
      <c r="AA76" s="8" t="str">
        <f t="shared" si="58"/>
        <v/>
      </c>
      <c r="AB76" s="9" t="str">
        <f t="shared" si="59"/>
        <v/>
      </c>
      <c r="AC76" s="8" t="str">
        <f t="shared" si="60"/>
        <v/>
      </c>
      <c r="AD76" s="9" t="str">
        <f t="shared" si="61"/>
        <v/>
      </c>
      <c r="AE76" s="8" t="str">
        <f t="shared" si="62"/>
        <v/>
      </c>
      <c r="AF76" s="8" t="str">
        <f t="shared" si="63"/>
        <v/>
      </c>
      <c r="AG76" s="9" t="str">
        <f t="shared" si="64"/>
        <v/>
      </c>
      <c r="AH76" s="5" t="str">
        <f t="shared" si="65"/>
        <v/>
      </c>
      <c r="AI76" s="12" t="str">
        <f>IFERROR(VLOOKUP($B76,DM_Doanh_nghiep!$A$2:$I$1501,9,FALSE),"")</f>
        <v/>
      </c>
    </row>
    <row r="77" spans="1:35">
      <c r="A77" s="3"/>
      <c r="B77" s="4"/>
      <c r="C77" s="5" t="str">
        <f>IFERROR(VLOOKUP($B77,DM_Doanh_nghiep!$A$2:$H$1001,2,FALSE),"")</f>
        <v/>
      </c>
      <c r="D77" s="5" t="str">
        <f>IFERROR(VLOOKUP($B77,DM_Doanh_nghiep!$A$2:$H$1001,4,FALSE),"")</f>
        <v/>
      </c>
      <c r="E77" s="5" t="str">
        <f>IFERROR(VLOOKUP($B77,DM_Doanh_nghiep!$A$2:$H$1001,5,FALSE),"")</f>
        <v/>
      </c>
      <c r="F77" s="6"/>
      <c r="G77" s="6"/>
      <c r="H77" s="7"/>
      <c r="I77" s="7"/>
      <c r="J77" s="7"/>
      <c r="K77" s="6"/>
      <c r="L77" s="6"/>
      <c r="M77" s="8" t="str">
        <f t="shared" si="44"/>
        <v/>
      </c>
      <c r="N77" s="9" t="str">
        <f t="shared" si="45"/>
        <v/>
      </c>
      <c r="O77" s="8" t="str">
        <f t="shared" si="46"/>
        <v/>
      </c>
      <c r="P77" s="9" t="str">
        <f t="shared" si="47"/>
        <v/>
      </c>
      <c r="Q77" s="8" t="str">
        <f t="shared" si="48"/>
        <v/>
      </c>
      <c r="R77" s="8" t="str">
        <f t="shared" si="49"/>
        <v/>
      </c>
      <c r="S77" s="9" t="str">
        <f t="shared" si="50"/>
        <v/>
      </c>
      <c r="T77" s="8" t="str">
        <f t="shared" si="51"/>
        <v/>
      </c>
      <c r="U77" s="9" t="str">
        <f t="shared" si="52"/>
        <v/>
      </c>
      <c r="V77" s="8" t="str">
        <f t="shared" si="53"/>
        <v/>
      </c>
      <c r="W77" s="9" t="str">
        <f t="shared" si="54"/>
        <v/>
      </c>
      <c r="X77" s="8" t="str">
        <f t="shared" si="55"/>
        <v/>
      </c>
      <c r="Y77" s="8" t="str">
        <f t="shared" si="56"/>
        <v/>
      </c>
      <c r="Z77" s="9" t="str">
        <f t="shared" si="57"/>
        <v/>
      </c>
      <c r="AA77" s="8" t="str">
        <f t="shared" si="58"/>
        <v/>
      </c>
      <c r="AB77" s="9" t="str">
        <f t="shared" si="59"/>
        <v/>
      </c>
      <c r="AC77" s="8" t="str">
        <f t="shared" si="60"/>
        <v/>
      </c>
      <c r="AD77" s="9" t="str">
        <f t="shared" si="61"/>
        <v/>
      </c>
      <c r="AE77" s="8" t="str">
        <f t="shared" si="62"/>
        <v/>
      </c>
      <c r="AF77" s="8" t="str">
        <f t="shared" si="63"/>
        <v/>
      </c>
      <c r="AG77" s="9" t="str">
        <f t="shared" si="64"/>
        <v/>
      </c>
      <c r="AH77" s="5" t="str">
        <f t="shared" si="65"/>
        <v/>
      </c>
      <c r="AI77" s="12" t="str">
        <f>IFERROR(VLOOKUP($B77,DM_Doanh_nghiep!$A$2:$I$1501,9,FALSE),"")</f>
        <v/>
      </c>
    </row>
    <row r="78" spans="1:35">
      <c r="A78" s="3"/>
      <c r="B78" s="4"/>
      <c r="C78" s="5" t="str">
        <f>IFERROR(VLOOKUP($B78,DM_Doanh_nghiep!$A$2:$H$1001,2,FALSE),"")</f>
        <v/>
      </c>
      <c r="D78" s="5" t="str">
        <f>IFERROR(VLOOKUP($B78,DM_Doanh_nghiep!$A$2:$H$1001,4,FALSE),"")</f>
        <v/>
      </c>
      <c r="E78" s="5" t="str">
        <f>IFERROR(VLOOKUP($B78,DM_Doanh_nghiep!$A$2:$H$1001,5,FALSE),"")</f>
        <v/>
      </c>
      <c r="F78" s="6"/>
      <c r="G78" s="6"/>
      <c r="H78" s="7"/>
      <c r="I78" s="7"/>
      <c r="J78" s="7"/>
      <c r="K78" s="6"/>
      <c r="L78" s="6"/>
      <c r="M78" s="8" t="str">
        <f t="shared" si="44"/>
        <v/>
      </c>
      <c r="N78" s="9" t="str">
        <f t="shared" si="45"/>
        <v/>
      </c>
      <c r="O78" s="8" t="str">
        <f t="shared" si="46"/>
        <v/>
      </c>
      <c r="P78" s="9" t="str">
        <f t="shared" si="47"/>
        <v/>
      </c>
      <c r="Q78" s="8" t="str">
        <f t="shared" si="48"/>
        <v/>
      </c>
      <c r="R78" s="8" t="str">
        <f t="shared" si="49"/>
        <v/>
      </c>
      <c r="S78" s="9" t="str">
        <f t="shared" si="50"/>
        <v/>
      </c>
      <c r="T78" s="8" t="str">
        <f t="shared" si="51"/>
        <v/>
      </c>
      <c r="U78" s="9" t="str">
        <f t="shared" si="52"/>
        <v/>
      </c>
      <c r="V78" s="8" t="str">
        <f t="shared" si="53"/>
        <v/>
      </c>
      <c r="W78" s="9" t="str">
        <f t="shared" si="54"/>
        <v/>
      </c>
      <c r="X78" s="8" t="str">
        <f t="shared" si="55"/>
        <v/>
      </c>
      <c r="Y78" s="8" t="str">
        <f t="shared" si="56"/>
        <v/>
      </c>
      <c r="Z78" s="9" t="str">
        <f t="shared" si="57"/>
        <v/>
      </c>
      <c r="AA78" s="8" t="str">
        <f t="shared" si="58"/>
        <v/>
      </c>
      <c r="AB78" s="9" t="str">
        <f t="shared" si="59"/>
        <v/>
      </c>
      <c r="AC78" s="8" t="str">
        <f t="shared" si="60"/>
        <v/>
      </c>
      <c r="AD78" s="9" t="str">
        <f t="shared" si="61"/>
        <v/>
      </c>
      <c r="AE78" s="8" t="str">
        <f t="shared" si="62"/>
        <v/>
      </c>
      <c r="AF78" s="8" t="str">
        <f t="shared" si="63"/>
        <v/>
      </c>
      <c r="AG78" s="9" t="str">
        <f t="shared" si="64"/>
        <v/>
      </c>
      <c r="AH78" s="5" t="str">
        <f t="shared" si="65"/>
        <v/>
      </c>
      <c r="AI78" s="12" t="str">
        <f>IFERROR(VLOOKUP($B78,DM_Doanh_nghiep!$A$2:$I$1501,9,FALSE),"")</f>
        <v/>
      </c>
    </row>
    <row r="79" spans="1:35">
      <c r="A79" s="3"/>
      <c r="B79" s="4"/>
      <c r="C79" s="5" t="str">
        <f>IFERROR(VLOOKUP($B79,DM_Doanh_nghiep!$A$2:$H$1001,2,FALSE),"")</f>
        <v/>
      </c>
      <c r="D79" s="5" t="str">
        <f>IFERROR(VLOOKUP($B79,DM_Doanh_nghiep!$A$2:$H$1001,4,FALSE),"")</f>
        <v/>
      </c>
      <c r="E79" s="5" t="str">
        <f>IFERROR(VLOOKUP($B79,DM_Doanh_nghiep!$A$2:$H$1001,5,FALSE),"")</f>
        <v/>
      </c>
      <c r="F79" s="6"/>
      <c r="G79" s="6"/>
      <c r="H79" s="7"/>
      <c r="I79" s="7"/>
      <c r="J79" s="7"/>
      <c r="K79" s="6"/>
      <c r="L79" s="6"/>
      <c r="M79" s="8" t="str">
        <f t="shared" si="44"/>
        <v/>
      </c>
      <c r="N79" s="9" t="str">
        <f t="shared" si="45"/>
        <v/>
      </c>
      <c r="O79" s="8" t="str">
        <f t="shared" si="46"/>
        <v/>
      </c>
      <c r="P79" s="9" t="str">
        <f t="shared" si="47"/>
        <v/>
      </c>
      <c r="Q79" s="8" t="str">
        <f t="shared" si="48"/>
        <v/>
      </c>
      <c r="R79" s="8" t="str">
        <f t="shared" si="49"/>
        <v/>
      </c>
      <c r="S79" s="9" t="str">
        <f t="shared" si="50"/>
        <v/>
      </c>
      <c r="T79" s="8" t="str">
        <f t="shared" si="51"/>
        <v/>
      </c>
      <c r="U79" s="9" t="str">
        <f t="shared" si="52"/>
        <v/>
      </c>
      <c r="V79" s="8" t="str">
        <f t="shared" si="53"/>
        <v/>
      </c>
      <c r="W79" s="9" t="str">
        <f t="shared" si="54"/>
        <v/>
      </c>
      <c r="X79" s="8" t="str">
        <f t="shared" si="55"/>
        <v/>
      </c>
      <c r="Y79" s="8" t="str">
        <f t="shared" si="56"/>
        <v/>
      </c>
      <c r="Z79" s="9" t="str">
        <f t="shared" si="57"/>
        <v/>
      </c>
      <c r="AA79" s="8" t="str">
        <f t="shared" si="58"/>
        <v/>
      </c>
      <c r="AB79" s="9" t="str">
        <f t="shared" si="59"/>
        <v/>
      </c>
      <c r="AC79" s="8" t="str">
        <f t="shared" si="60"/>
        <v/>
      </c>
      <c r="AD79" s="9" t="str">
        <f t="shared" si="61"/>
        <v/>
      </c>
      <c r="AE79" s="8" t="str">
        <f t="shared" si="62"/>
        <v/>
      </c>
      <c r="AF79" s="8" t="str">
        <f t="shared" si="63"/>
        <v/>
      </c>
      <c r="AG79" s="9" t="str">
        <f t="shared" si="64"/>
        <v/>
      </c>
      <c r="AH79" s="5" t="str">
        <f t="shared" si="65"/>
        <v/>
      </c>
      <c r="AI79" s="12" t="str">
        <f>IFERROR(VLOOKUP($B79,DM_Doanh_nghiep!$A$2:$I$1501,9,FALSE),"")</f>
        <v/>
      </c>
    </row>
    <row r="80" spans="1:35">
      <c r="A80" s="3"/>
      <c r="B80" s="4"/>
      <c r="C80" s="5" t="str">
        <f>IFERROR(VLOOKUP($B80,DM_Doanh_nghiep!$A$2:$H$1001,2,FALSE),"")</f>
        <v/>
      </c>
      <c r="D80" s="5" t="str">
        <f>IFERROR(VLOOKUP($B80,DM_Doanh_nghiep!$A$2:$H$1001,4,FALSE),"")</f>
        <v/>
      </c>
      <c r="E80" s="5" t="str">
        <f>IFERROR(VLOOKUP($B80,DM_Doanh_nghiep!$A$2:$H$1001,5,FALSE),"")</f>
        <v/>
      </c>
      <c r="F80" s="6"/>
      <c r="G80" s="6"/>
      <c r="H80" s="7"/>
      <c r="I80" s="7"/>
      <c r="J80" s="7"/>
      <c r="K80" s="6"/>
      <c r="L80" s="6"/>
      <c r="M80" s="8" t="str">
        <f t="shared" si="44"/>
        <v/>
      </c>
      <c r="N80" s="9" t="str">
        <f t="shared" si="45"/>
        <v/>
      </c>
      <c r="O80" s="8" t="str">
        <f t="shared" si="46"/>
        <v/>
      </c>
      <c r="P80" s="9" t="str">
        <f t="shared" si="47"/>
        <v/>
      </c>
      <c r="Q80" s="8" t="str">
        <f t="shared" si="48"/>
        <v/>
      </c>
      <c r="R80" s="8" t="str">
        <f t="shared" si="49"/>
        <v/>
      </c>
      <c r="S80" s="9" t="str">
        <f t="shared" si="50"/>
        <v/>
      </c>
      <c r="T80" s="8" t="str">
        <f t="shared" si="51"/>
        <v/>
      </c>
      <c r="U80" s="9" t="str">
        <f t="shared" si="52"/>
        <v/>
      </c>
      <c r="V80" s="8" t="str">
        <f t="shared" si="53"/>
        <v/>
      </c>
      <c r="W80" s="9" t="str">
        <f t="shared" si="54"/>
        <v/>
      </c>
      <c r="X80" s="8" t="str">
        <f t="shared" si="55"/>
        <v/>
      </c>
      <c r="Y80" s="8" t="str">
        <f t="shared" si="56"/>
        <v/>
      </c>
      <c r="Z80" s="9" t="str">
        <f t="shared" si="57"/>
        <v/>
      </c>
      <c r="AA80" s="8" t="str">
        <f t="shared" si="58"/>
        <v/>
      </c>
      <c r="AB80" s="9" t="str">
        <f t="shared" si="59"/>
        <v/>
      </c>
      <c r="AC80" s="8" t="str">
        <f t="shared" si="60"/>
        <v/>
      </c>
      <c r="AD80" s="9" t="str">
        <f t="shared" si="61"/>
        <v/>
      </c>
      <c r="AE80" s="8" t="str">
        <f t="shared" si="62"/>
        <v/>
      </c>
      <c r="AF80" s="8" t="str">
        <f t="shared" si="63"/>
        <v/>
      </c>
      <c r="AG80" s="9" t="str">
        <f t="shared" si="64"/>
        <v/>
      </c>
      <c r="AH80" s="5" t="str">
        <f t="shared" si="65"/>
        <v/>
      </c>
      <c r="AI80" s="12" t="str">
        <f>IFERROR(VLOOKUP($B80,DM_Doanh_nghiep!$A$2:$I$1501,9,FALSE),"")</f>
        <v/>
      </c>
    </row>
    <row r="81" spans="1:35">
      <c r="A81" s="3"/>
      <c r="B81" s="4"/>
      <c r="C81" s="5" t="str">
        <f>IFERROR(VLOOKUP($B81,DM_Doanh_nghiep!$A$2:$H$1001,2,FALSE),"")</f>
        <v/>
      </c>
      <c r="D81" s="5" t="str">
        <f>IFERROR(VLOOKUP($B81,DM_Doanh_nghiep!$A$2:$H$1001,4,FALSE),"")</f>
        <v/>
      </c>
      <c r="E81" s="5" t="str">
        <f>IFERROR(VLOOKUP($B81,DM_Doanh_nghiep!$A$2:$H$1001,5,FALSE),"")</f>
        <v/>
      </c>
      <c r="F81" s="6"/>
      <c r="G81" s="6"/>
      <c r="H81" s="7"/>
      <c r="I81" s="7"/>
      <c r="J81" s="7"/>
      <c r="K81" s="6"/>
      <c r="L81" s="6"/>
      <c r="M81" s="8" t="str">
        <f t="shared" si="44"/>
        <v/>
      </c>
      <c r="N81" s="9" t="str">
        <f t="shared" si="45"/>
        <v/>
      </c>
      <c r="O81" s="8" t="str">
        <f t="shared" si="46"/>
        <v/>
      </c>
      <c r="P81" s="9" t="str">
        <f t="shared" si="47"/>
        <v/>
      </c>
      <c r="Q81" s="8" t="str">
        <f t="shared" si="48"/>
        <v/>
      </c>
      <c r="R81" s="8" t="str">
        <f t="shared" si="49"/>
        <v/>
      </c>
      <c r="S81" s="9" t="str">
        <f t="shared" si="50"/>
        <v/>
      </c>
      <c r="T81" s="8" t="str">
        <f t="shared" si="51"/>
        <v/>
      </c>
      <c r="U81" s="9" t="str">
        <f t="shared" si="52"/>
        <v/>
      </c>
      <c r="V81" s="8" t="str">
        <f t="shared" si="53"/>
        <v/>
      </c>
      <c r="W81" s="9" t="str">
        <f t="shared" si="54"/>
        <v/>
      </c>
      <c r="X81" s="8" t="str">
        <f t="shared" si="55"/>
        <v/>
      </c>
      <c r="Y81" s="8" t="str">
        <f t="shared" si="56"/>
        <v/>
      </c>
      <c r="Z81" s="9" t="str">
        <f t="shared" si="57"/>
        <v/>
      </c>
      <c r="AA81" s="8" t="str">
        <f t="shared" si="58"/>
        <v/>
      </c>
      <c r="AB81" s="9" t="str">
        <f t="shared" si="59"/>
        <v/>
      </c>
      <c r="AC81" s="8" t="str">
        <f t="shared" si="60"/>
        <v/>
      </c>
      <c r="AD81" s="9" t="str">
        <f t="shared" si="61"/>
        <v/>
      </c>
      <c r="AE81" s="8" t="str">
        <f t="shared" si="62"/>
        <v/>
      </c>
      <c r="AF81" s="8" t="str">
        <f t="shared" si="63"/>
        <v/>
      </c>
      <c r="AG81" s="9" t="str">
        <f t="shared" si="64"/>
        <v/>
      </c>
      <c r="AH81" s="5" t="str">
        <f t="shared" si="65"/>
        <v/>
      </c>
      <c r="AI81" s="12" t="str">
        <f>IFERROR(VLOOKUP($B81,DM_Doanh_nghiep!$A$2:$I$1501,9,FALSE),"")</f>
        <v/>
      </c>
    </row>
    <row r="82" spans="1:35">
      <c r="A82" s="3"/>
      <c r="B82" s="4"/>
      <c r="C82" s="5" t="str">
        <f>IFERROR(VLOOKUP($B82,DM_Doanh_nghiep!$A$2:$H$1001,2,FALSE),"")</f>
        <v/>
      </c>
      <c r="D82" s="5" t="str">
        <f>IFERROR(VLOOKUP($B82,DM_Doanh_nghiep!$A$2:$H$1001,4,FALSE),"")</f>
        <v/>
      </c>
      <c r="E82" s="5" t="str">
        <f>IFERROR(VLOOKUP($B82,DM_Doanh_nghiep!$A$2:$H$1001,5,FALSE),"")</f>
        <v/>
      </c>
      <c r="F82" s="6"/>
      <c r="G82" s="6"/>
      <c r="H82" s="7"/>
      <c r="I82" s="7"/>
      <c r="J82" s="7"/>
      <c r="K82" s="6"/>
      <c r="L82" s="6"/>
      <c r="M82" s="8" t="str">
        <f t="shared" si="44"/>
        <v/>
      </c>
      <c r="N82" s="9" t="str">
        <f t="shared" si="45"/>
        <v/>
      </c>
      <c r="O82" s="8" t="str">
        <f t="shared" si="46"/>
        <v/>
      </c>
      <c r="P82" s="9" t="str">
        <f t="shared" si="47"/>
        <v/>
      </c>
      <c r="Q82" s="8" t="str">
        <f t="shared" si="48"/>
        <v/>
      </c>
      <c r="R82" s="8" t="str">
        <f t="shared" si="49"/>
        <v/>
      </c>
      <c r="S82" s="9" t="str">
        <f t="shared" si="50"/>
        <v/>
      </c>
      <c r="T82" s="8" t="str">
        <f t="shared" si="51"/>
        <v/>
      </c>
      <c r="U82" s="9" t="str">
        <f t="shared" si="52"/>
        <v/>
      </c>
      <c r="V82" s="8" t="str">
        <f t="shared" si="53"/>
        <v/>
      </c>
      <c r="W82" s="9" t="str">
        <f t="shared" si="54"/>
        <v/>
      </c>
      <c r="X82" s="8" t="str">
        <f t="shared" si="55"/>
        <v/>
      </c>
      <c r="Y82" s="8" t="str">
        <f t="shared" si="56"/>
        <v/>
      </c>
      <c r="Z82" s="9" t="str">
        <f t="shared" si="57"/>
        <v/>
      </c>
      <c r="AA82" s="8" t="str">
        <f t="shared" si="58"/>
        <v/>
      </c>
      <c r="AB82" s="9" t="str">
        <f t="shared" si="59"/>
        <v/>
      </c>
      <c r="AC82" s="8" t="str">
        <f t="shared" si="60"/>
        <v/>
      </c>
      <c r="AD82" s="9" t="str">
        <f t="shared" si="61"/>
        <v/>
      </c>
      <c r="AE82" s="8" t="str">
        <f t="shared" si="62"/>
        <v/>
      </c>
      <c r="AF82" s="8" t="str">
        <f t="shared" si="63"/>
        <v/>
      </c>
      <c r="AG82" s="9" t="str">
        <f t="shared" si="64"/>
        <v/>
      </c>
      <c r="AH82" s="5" t="str">
        <f t="shared" si="65"/>
        <v/>
      </c>
      <c r="AI82" s="12" t="str">
        <f>IFERROR(VLOOKUP($B82,DM_Doanh_nghiep!$A$2:$I$1501,9,FALSE),"")</f>
        <v/>
      </c>
    </row>
    <row r="83" spans="1:35">
      <c r="A83" s="3"/>
      <c r="B83" s="4"/>
      <c r="C83" s="5" t="str">
        <f>IFERROR(VLOOKUP($B83,DM_Doanh_nghiep!$A$2:$H$1001,2,FALSE),"")</f>
        <v/>
      </c>
      <c r="D83" s="5" t="str">
        <f>IFERROR(VLOOKUP($B83,DM_Doanh_nghiep!$A$2:$H$1001,4,FALSE),"")</f>
        <v/>
      </c>
      <c r="E83" s="5" t="str">
        <f>IFERROR(VLOOKUP($B83,DM_Doanh_nghiep!$A$2:$H$1001,5,FALSE),"")</f>
        <v/>
      </c>
      <c r="F83" s="6"/>
      <c r="G83" s="6"/>
      <c r="H83" s="7"/>
      <c r="I83" s="7"/>
      <c r="J83" s="7"/>
      <c r="K83" s="6"/>
      <c r="L83" s="6"/>
      <c r="M83" s="8" t="str">
        <f t="shared" si="44"/>
        <v/>
      </c>
      <c r="N83" s="9" t="str">
        <f t="shared" si="45"/>
        <v/>
      </c>
      <c r="O83" s="8" t="str">
        <f t="shared" si="46"/>
        <v/>
      </c>
      <c r="P83" s="9" t="str">
        <f t="shared" si="47"/>
        <v/>
      </c>
      <c r="Q83" s="8" t="str">
        <f t="shared" si="48"/>
        <v/>
      </c>
      <c r="R83" s="8" t="str">
        <f t="shared" si="49"/>
        <v/>
      </c>
      <c r="S83" s="9" t="str">
        <f t="shared" si="50"/>
        <v/>
      </c>
      <c r="T83" s="8" t="str">
        <f t="shared" si="51"/>
        <v/>
      </c>
      <c r="U83" s="9" t="str">
        <f t="shared" si="52"/>
        <v/>
      </c>
      <c r="V83" s="8" t="str">
        <f t="shared" si="53"/>
        <v/>
      </c>
      <c r="W83" s="9" t="str">
        <f t="shared" si="54"/>
        <v/>
      </c>
      <c r="X83" s="8" t="str">
        <f t="shared" si="55"/>
        <v/>
      </c>
      <c r="Y83" s="8" t="str">
        <f t="shared" si="56"/>
        <v/>
      </c>
      <c r="Z83" s="9" t="str">
        <f t="shared" si="57"/>
        <v/>
      </c>
      <c r="AA83" s="8" t="str">
        <f t="shared" si="58"/>
        <v/>
      </c>
      <c r="AB83" s="9" t="str">
        <f t="shared" si="59"/>
        <v/>
      </c>
      <c r="AC83" s="8" t="str">
        <f t="shared" si="60"/>
        <v/>
      </c>
      <c r="AD83" s="9" t="str">
        <f t="shared" si="61"/>
        <v/>
      </c>
      <c r="AE83" s="8" t="str">
        <f t="shared" si="62"/>
        <v/>
      </c>
      <c r="AF83" s="8" t="str">
        <f t="shared" si="63"/>
        <v/>
      </c>
      <c r="AG83" s="9" t="str">
        <f t="shared" si="64"/>
        <v/>
      </c>
      <c r="AH83" s="5" t="str">
        <f t="shared" si="65"/>
        <v/>
      </c>
      <c r="AI83" s="12" t="str">
        <f>IFERROR(VLOOKUP($B83,DM_Doanh_nghiep!$A$2:$I$1501,9,FALSE),"")</f>
        <v/>
      </c>
    </row>
    <row r="84" spans="1:35">
      <c r="A84" s="3"/>
      <c r="B84" s="4"/>
      <c r="C84" s="5" t="str">
        <f>IFERROR(VLOOKUP($B84,DM_Doanh_nghiep!$A$2:$H$1001,2,FALSE),"")</f>
        <v/>
      </c>
      <c r="D84" s="5" t="str">
        <f>IFERROR(VLOOKUP($B84,DM_Doanh_nghiep!$A$2:$H$1001,4,FALSE),"")</f>
        <v/>
      </c>
      <c r="E84" s="5" t="str">
        <f>IFERROR(VLOOKUP($B84,DM_Doanh_nghiep!$A$2:$H$1001,5,FALSE),"")</f>
        <v/>
      </c>
      <c r="F84" s="6"/>
      <c r="G84" s="6"/>
      <c r="H84" s="7"/>
      <c r="I84" s="7"/>
      <c r="J84" s="7"/>
      <c r="K84" s="6"/>
      <c r="L84" s="6"/>
      <c r="M84" s="8" t="str">
        <f t="shared" si="44"/>
        <v/>
      </c>
      <c r="N84" s="9" t="str">
        <f t="shared" si="45"/>
        <v/>
      </c>
      <c r="O84" s="8" t="str">
        <f t="shared" si="46"/>
        <v/>
      </c>
      <c r="P84" s="9" t="str">
        <f t="shared" si="47"/>
        <v/>
      </c>
      <c r="Q84" s="8" t="str">
        <f t="shared" si="48"/>
        <v/>
      </c>
      <c r="R84" s="8" t="str">
        <f t="shared" si="49"/>
        <v/>
      </c>
      <c r="S84" s="9" t="str">
        <f t="shared" si="50"/>
        <v/>
      </c>
      <c r="T84" s="8" t="str">
        <f t="shared" si="51"/>
        <v/>
      </c>
      <c r="U84" s="9" t="str">
        <f t="shared" si="52"/>
        <v/>
      </c>
      <c r="V84" s="8" t="str">
        <f t="shared" si="53"/>
        <v/>
      </c>
      <c r="W84" s="9" t="str">
        <f t="shared" si="54"/>
        <v/>
      </c>
      <c r="X84" s="8" t="str">
        <f t="shared" si="55"/>
        <v/>
      </c>
      <c r="Y84" s="8" t="str">
        <f t="shared" si="56"/>
        <v/>
      </c>
      <c r="Z84" s="9" t="str">
        <f t="shared" si="57"/>
        <v/>
      </c>
      <c r="AA84" s="8" t="str">
        <f t="shared" si="58"/>
        <v/>
      </c>
      <c r="AB84" s="9" t="str">
        <f t="shared" si="59"/>
        <v/>
      </c>
      <c r="AC84" s="8" t="str">
        <f t="shared" si="60"/>
        <v/>
      </c>
      <c r="AD84" s="9" t="str">
        <f t="shared" si="61"/>
        <v/>
      </c>
      <c r="AE84" s="8" t="str">
        <f t="shared" si="62"/>
        <v/>
      </c>
      <c r="AF84" s="8" t="str">
        <f t="shared" si="63"/>
        <v/>
      </c>
      <c r="AG84" s="9" t="str">
        <f t="shared" si="64"/>
        <v/>
      </c>
      <c r="AH84" s="5" t="str">
        <f t="shared" si="65"/>
        <v/>
      </c>
      <c r="AI84" s="12" t="str">
        <f>IFERROR(VLOOKUP($B84,DM_Doanh_nghiep!$A$2:$I$1501,9,FALSE),"")</f>
        <v/>
      </c>
    </row>
    <row r="85" spans="1:35">
      <c r="A85" s="3"/>
      <c r="B85" s="4"/>
      <c r="C85" s="5" t="str">
        <f>IFERROR(VLOOKUP($B85,DM_Doanh_nghiep!$A$2:$H$1001,2,FALSE),"")</f>
        <v/>
      </c>
      <c r="D85" s="5" t="str">
        <f>IFERROR(VLOOKUP($B85,DM_Doanh_nghiep!$A$2:$H$1001,4,FALSE),"")</f>
        <v/>
      </c>
      <c r="E85" s="5" t="str">
        <f>IFERROR(VLOOKUP($B85,DM_Doanh_nghiep!$A$2:$H$1001,5,FALSE),"")</f>
        <v/>
      </c>
      <c r="F85" s="6"/>
      <c r="G85" s="6"/>
      <c r="H85" s="7"/>
      <c r="I85" s="7"/>
      <c r="J85" s="7"/>
      <c r="K85" s="6"/>
      <c r="L85" s="6"/>
      <c r="M85" s="8" t="str">
        <f t="shared" si="44"/>
        <v/>
      </c>
      <c r="N85" s="9" t="str">
        <f t="shared" si="45"/>
        <v/>
      </c>
      <c r="O85" s="8" t="str">
        <f t="shared" si="46"/>
        <v/>
      </c>
      <c r="P85" s="9" t="str">
        <f t="shared" si="47"/>
        <v/>
      </c>
      <c r="Q85" s="8" t="str">
        <f t="shared" si="48"/>
        <v/>
      </c>
      <c r="R85" s="8" t="str">
        <f t="shared" si="49"/>
        <v/>
      </c>
      <c r="S85" s="9" t="str">
        <f t="shared" si="50"/>
        <v/>
      </c>
      <c r="T85" s="8" t="str">
        <f t="shared" si="51"/>
        <v/>
      </c>
      <c r="U85" s="9" t="str">
        <f t="shared" si="52"/>
        <v/>
      </c>
      <c r="V85" s="8" t="str">
        <f t="shared" si="53"/>
        <v/>
      </c>
      <c r="W85" s="9" t="str">
        <f t="shared" si="54"/>
        <v/>
      </c>
      <c r="X85" s="8" t="str">
        <f t="shared" si="55"/>
        <v/>
      </c>
      <c r="Y85" s="8" t="str">
        <f t="shared" si="56"/>
        <v/>
      </c>
      <c r="Z85" s="9" t="str">
        <f t="shared" si="57"/>
        <v/>
      </c>
      <c r="AA85" s="8" t="str">
        <f t="shared" si="58"/>
        <v/>
      </c>
      <c r="AB85" s="9" t="str">
        <f t="shared" si="59"/>
        <v/>
      </c>
      <c r="AC85" s="8" t="str">
        <f t="shared" si="60"/>
        <v/>
      </c>
      <c r="AD85" s="9" t="str">
        <f t="shared" si="61"/>
        <v/>
      </c>
      <c r="AE85" s="8" t="str">
        <f t="shared" si="62"/>
        <v/>
      </c>
      <c r="AF85" s="8" t="str">
        <f t="shared" si="63"/>
        <v/>
      </c>
      <c r="AG85" s="9" t="str">
        <f t="shared" si="64"/>
        <v/>
      </c>
      <c r="AH85" s="5" t="str">
        <f t="shared" si="65"/>
        <v/>
      </c>
      <c r="AI85" s="12" t="str">
        <f>IFERROR(VLOOKUP($B85,DM_Doanh_nghiep!$A$2:$I$1501,9,FALSE),"")</f>
        <v/>
      </c>
    </row>
    <row r="86" spans="1:35">
      <c r="A86" s="3"/>
      <c r="B86" s="4"/>
      <c r="C86" s="5" t="str">
        <f>IFERROR(VLOOKUP($B86,DM_Doanh_nghiep!$A$2:$H$1001,2,FALSE),"")</f>
        <v/>
      </c>
      <c r="D86" s="5" t="str">
        <f>IFERROR(VLOOKUP($B86,DM_Doanh_nghiep!$A$2:$H$1001,4,FALSE),"")</f>
        <v/>
      </c>
      <c r="E86" s="5" t="str">
        <f>IFERROR(VLOOKUP($B86,DM_Doanh_nghiep!$A$2:$H$1001,5,FALSE),"")</f>
        <v/>
      </c>
      <c r="F86" s="6"/>
      <c r="G86" s="6"/>
      <c r="H86" s="7"/>
      <c r="I86" s="7"/>
      <c r="J86" s="7"/>
      <c r="K86" s="6"/>
      <c r="L86" s="6"/>
      <c r="M86" s="8" t="str">
        <f t="shared" si="44"/>
        <v/>
      </c>
      <c r="N86" s="9" t="str">
        <f t="shared" si="45"/>
        <v/>
      </c>
      <c r="O86" s="8" t="str">
        <f t="shared" si="46"/>
        <v/>
      </c>
      <c r="P86" s="9" t="str">
        <f t="shared" si="47"/>
        <v/>
      </c>
      <c r="Q86" s="8" t="str">
        <f t="shared" si="48"/>
        <v/>
      </c>
      <c r="R86" s="8" t="str">
        <f t="shared" si="49"/>
        <v/>
      </c>
      <c r="S86" s="9" t="str">
        <f t="shared" si="50"/>
        <v/>
      </c>
      <c r="T86" s="8" t="str">
        <f t="shared" si="51"/>
        <v/>
      </c>
      <c r="U86" s="9" t="str">
        <f t="shared" si="52"/>
        <v/>
      </c>
      <c r="V86" s="8" t="str">
        <f t="shared" si="53"/>
        <v/>
      </c>
      <c r="W86" s="9" t="str">
        <f t="shared" si="54"/>
        <v/>
      </c>
      <c r="X86" s="8" t="str">
        <f t="shared" si="55"/>
        <v/>
      </c>
      <c r="Y86" s="8" t="str">
        <f t="shared" si="56"/>
        <v/>
      </c>
      <c r="Z86" s="9" t="str">
        <f t="shared" si="57"/>
        <v/>
      </c>
      <c r="AA86" s="8" t="str">
        <f t="shared" si="58"/>
        <v/>
      </c>
      <c r="AB86" s="9" t="str">
        <f t="shared" si="59"/>
        <v/>
      </c>
      <c r="AC86" s="8" t="str">
        <f t="shared" si="60"/>
        <v/>
      </c>
      <c r="AD86" s="9" t="str">
        <f t="shared" si="61"/>
        <v/>
      </c>
      <c r="AE86" s="8" t="str">
        <f t="shared" si="62"/>
        <v/>
      </c>
      <c r="AF86" s="8" t="str">
        <f t="shared" si="63"/>
        <v/>
      </c>
      <c r="AG86" s="9" t="str">
        <f t="shared" si="64"/>
        <v/>
      </c>
      <c r="AH86" s="5" t="str">
        <f t="shared" si="65"/>
        <v/>
      </c>
      <c r="AI86" s="12" t="str">
        <f>IFERROR(VLOOKUP($B86,DM_Doanh_nghiep!$A$2:$I$1501,9,FALSE),"")</f>
        <v/>
      </c>
    </row>
    <row r="87" spans="1:35">
      <c r="A87" s="3"/>
      <c r="B87" s="4"/>
      <c r="C87" s="5" t="str">
        <f>IFERROR(VLOOKUP($B87,DM_Doanh_nghiep!$A$2:$H$1001,2,FALSE),"")</f>
        <v/>
      </c>
      <c r="D87" s="5" t="str">
        <f>IFERROR(VLOOKUP($B87,DM_Doanh_nghiep!$A$2:$H$1001,4,FALSE),"")</f>
        <v/>
      </c>
      <c r="E87" s="5" t="str">
        <f>IFERROR(VLOOKUP($B87,DM_Doanh_nghiep!$A$2:$H$1001,5,FALSE),"")</f>
        <v/>
      </c>
      <c r="F87" s="6"/>
      <c r="G87" s="6"/>
      <c r="H87" s="7"/>
      <c r="I87" s="7"/>
      <c r="J87" s="7"/>
      <c r="K87" s="6"/>
      <c r="L87" s="6"/>
      <c r="M87" s="8" t="str">
        <f t="shared" si="44"/>
        <v/>
      </c>
      <c r="N87" s="9" t="str">
        <f t="shared" si="45"/>
        <v/>
      </c>
      <c r="O87" s="8" t="str">
        <f t="shared" si="46"/>
        <v/>
      </c>
      <c r="P87" s="9" t="str">
        <f t="shared" si="47"/>
        <v/>
      </c>
      <c r="Q87" s="8" t="str">
        <f t="shared" si="48"/>
        <v/>
      </c>
      <c r="R87" s="8" t="str">
        <f t="shared" si="49"/>
        <v/>
      </c>
      <c r="S87" s="9" t="str">
        <f t="shared" si="50"/>
        <v/>
      </c>
      <c r="T87" s="8" t="str">
        <f t="shared" si="51"/>
        <v/>
      </c>
      <c r="U87" s="9" t="str">
        <f t="shared" si="52"/>
        <v/>
      </c>
      <c r="V87" s="8" t="str">
        <f t="shared" si="53"/>
        <v/>
      </c>
      <c r="W87" s="9" t="str">
        <f t="shared" si="54"/>
        <v/>
      </c>
      <c r="X87" s="8" t="str">
        <f t="shared" si="55"/>
        <v/>
      </c>
      <c r="Y87" s="8" t="str">
        <f t="shared" si="56"/>
        <v/>
      </c>
      <c r="Z87" s="9" t="str">
        <f t="shared" si="57"/>
        <v/>
      </c>
      <c r="AA87" s="8" t="str">
        <f t="shared" si="58"/>
        <v/>
      </c>
      <c r="AB87" s="9" t="str">
        <f t="shared" si="59"/>
        <v/>
      </c>
      <c r="AC87" s="8" t="str">
        <f t="shared" si="60"/>
        <v/>
      </c>
      <c r="AD87" s="9" t="str">
        <f t="shared" si="61"/>
        <v/>
      </c>
      <c r="AE87" s="8" t="str">
        <f t="shared" si="62"/>
        <v/>
      </c>
      <c r="AF87" s="8" t="str">
        <f t="shared" si="63"/>
        <v/>
      </c>
      <c r="AG87" s="9" t="str">
        <f t="shared" si="64"/>
        <v/>
      </c>
      <c r="AH87" s="5" t="str">
        <f t="shared" si="65"/>
        <v/>
      </c>
      <c r="AI87" s="12" t="str">
        <f>IFERROR(VLOOKUP($B87,DM_Doanh_nghiep!$A$2:$I$1501,9,FALSE),"")</f>
        <v/>
      </c>
    </row>
    <row r="88" spans="1:35">
      <c r="A88" s="3"/>
      <c r="B88" s="4"/>
      <c r="C88" s="5" t="str">
        <f>IFERROR(VLOOKUP($B88,DM_Doanh_nghiep!$A$2:$H$1001,2,FALSE),"")</f>
        <v/>
      </c>
      <c r="D88" s="5" t="str">
        <f>IFERROR(VLOOKUP($B88,DM_Doanh_nghiep!$A$2:$H$1001,4,FALSE),"")</f>
        <v/>
      </c>
      <c r="E88" s="5" t="str">
        <f>IFERROR(VLOOKUP($B88,DM_Doanh_nghiep!$A$2:$H$1001,5,FALSE),"")</f>
        <v/>
      </c>
      <c r="F88" s="6"/>
      <c r="G88" s="6"/>
      <c r="H88" s="7"/>
      <c r="I88" s="7"/>
      <c r="J88" s="7"/>
      <c r="K88" s="6"/>
      <c r="L88" s="6"/>
      <c r="M88" s="8" t="str">
        <f t="shared" si="44"/>
        <v/>
      </c>
      <c r="N88" s="9" t="str">
        <f t="shared" si="45"/>
        <v/>
      </c>
      <c r="O88" s="8" t="str">
        <f t="shared" si="46"/>
        <v/>
      </c>
      <c r="P88" s="9" t="str">
        <f t="shared" si="47"/>
        <v/>
      </c>
      <c r="Q88" s="8" t="str">
        <f t="shared" si="48"/>
        <v/>
      </c>
      <c r="R88" s="8" t="str">
        <f t="shared" si="49"/>
        <v/>
      </c>
      <c r="S88" s="9" t="str">
        <f t="shared" si="50"/>
        <v/>
      </c>
      <c r="T88" s="8" t="str">
        <f t="shared" si="51"/>
        <v/>
      </c>
      <c r="U88" s="9" t="str">
        <f t="shared" si="52"/>
        <v/>
      </c>
      <c r="V88" s="8" t="str">
        <f t="shared" si="53"/>
        <v/>
      </c>
      <c r="W88" s="9" t="str">
        <f t="shared" si="54"/>
        <v/>
      </c>
      <c r="X88" s="8" t="str">
        <f t="shared" si="55"/>
        <v/>
      </c>
      <c r="Y88" s="8" t="str">
        <f t="shared" si="56"/>
        <v/>
      </c>
      <c r="Z88" s="9" t="str">
        <f t="shared" si="57"/>
        <v/>
      </c>
      <c r="AA88" s="8" t="str">
        <f t="shared" si="58"/>
        <v/>
      </c>
      <c r="AB88" s="9" t="str">
        <f t="shared" si="59"/>
        <v/>
      </c>
      <c r="AC88" s="8" t="str">
        <f t="shared" si="60"/>
        <v/>
      </c>
      <c r="AD88" s="9" t="str">
        <f t="shared" si="61"/>
        <v/>
      </c>
      <c r="AE88" s="8" t="str">
        <f t="shared" si="62"/>
        <v/>
      </c>
      <c r="AF88" s="8" t="str">
        <f t="shared" si="63"/>
        <v/>
      </c>
      <c r="AG88" s="9" t="str">
        <f t="shared" si="64"/>
        <v/>
      </c>
      <c r="AH88" s="5" t="str">
        <f t="shared" si="65"/>
        <v/>
      </c>
      <c r="AI88" s="12" t="str">
        <f>IFERROR(VLOOKUP($B88,DM_Doanh_nghiep!$A$2:$I$1501,9,FALSE),"")</f>
        <v/>
      </c>
    </row>
    <row r="89" spans="1:35">
      <c r="A89" s="3"/>
      <c r="B89" s="4"/>
      <c r="C89" s="5" t="str">
        <f>IFERROR(VLOOKUP($B89,DM_Doanh_nghiep!$A$2:$H$1001,2,FALSE),"")</f>
        <v/>
      </c>
      <c r="D89" s="5" t="str">
        <f>IFERROR(VLOOKUP($B89,DM_Doanh_nghiep!$A$2:$H$1001,4,FALSE),"")</f>
        <v/>
      </c>
      <c r="E89" s="5" t="str">
        <f>IFERROR(VLOOKUP($B89,DM_Doanh_nghiep!$A$2:$H$1001,5,FALSE),"")</f>
        <v/>
      </c>
      <c r="F89" s="6"/>
      <c r="G89" s="6"/>
      <c r="H89" s="7"/>
      <c r="I89" s="7"/>
      <c r="J89" s="7"/>
      <c r="K89" s="6"/>
      <c r="L89" s="6"/>
      <c r="M89" s="8" t="str">
        <f t="shared" si="44"/>
        <v/>
      </c>
      <c r="N89" s="9" t="str">
        <f t="shared" si="45"/>
        <v/>
      </c>
      <c r="O89" s="8" t="str">
        <f t="shared" si="46"/>
        <v/>
      </c>
      <c r="P89" s="9" t="str">
        <f t="shared" si="47"/>
        <v/>
      </c>
      <c r="Q89" s="8" t="str">
        <f t="shared" si="48"/>
        <v/>
      </c>
      <c r="R89" s="8" t="str">
        <f t="shared" si="49"/>
        <v/>
      </c>
      <c r="S89" s="9" t="str">
        <f t="shared" si="50"/>
        <v/>
      </c>
      <c r="T89" s="8" t="str">
        <f t="shared" si="51"/>
        <v/>
      </c>
      <c r="U89" s="9" t="str">
        <f t="shared" si="52"/>
        <v/>
      </c>
      <c r="V89" s="8" t="str">
        <f t="shared" si="53"/>
        <v/>
      </c>
      <c r="W89" s="9" t="str">
        <f t="shared" si="54"/>
        <v/>
      </c>
      <c r="X89" s="8" t="str">
        <f t="shared" si="55"/>
        <v/>
      </c>
      <c r="Y89" s="8" t="str">
        <f t="shared" si="56"/>
        <v/>
      </c>
      <c r="Z89" s="9" t="str">
        <f t="shared" si="57"/>
        <v/>
      </c>
      <c r="AA89" s="8" t="str">
        <f t="shared" si="58"/>
        <v/>
      </c>
      <c r="AB89" s="9" t="str">
        <f t="shared" si="59"/>
        <v/>
      </c>
      <c r="AC89" s="8" t="str">
        <f t="shared" si="60"/>
        <v/>
      </c>
      <c r="AD89" s="9" t="str">
        <f t="shared" si="61"/>
        <v/>
      </c>
      <c r="AE89" s="8" t="str">
        <f t="shared" si="62"/>
        <v/>
      </c>
      <c r="AF89" s="8" t="str">
        <f t="shared" si="63"/>
        <v/>
      </c>
      <c r="AG89" s="9" t="str">
        <f t="shared" si="64"/>
        <v/>
      </c>
      <c r="AH89" s="5" t="str">
        <f t="shared" si="65"/>
        <v/>
      </c>
      <c r="AI89" s="12" t="str">
        <f>IFERROR(VLOOKUP($B89,DM_Doanh_nghiep!$A$2:$I$1501,9,FALSE),"")</f>
        <v/>
      </c>
    </row>
    <row r="90" spans="1:35">
      <c r="A90" s="3"/>
      <c r="B90" s="4"/>
      <c r="C90" s="5" t="str">
        <f>IFERROR(VLOOKUP($B90,DM_Doanh_nghiep!$A$2:$H$1001,2,FALSE),"")</f>
        <v/>
      </c>
      <c r="D90" s="5" t="str">
        <f>IFERROR(VLOOKUP($B90,DM_Doanh_nghiep!$A$2:$H$1001,4,FALSE),"")</f>
        <v/>
      </c>
      <c r="E90" s="5" t="str">
        <f>IFERROR(VLOOKUP($B90,DM_Doanh_nghiep!$A$2:$H$1001,5,FALSE),"")</f>
        <v/>
      </c>
      <c r="F90" s="6"/>
      <c r="G90" s="6"/>
      <c r="H90" s="7"/>
      <c r="I90" s="7"/>
      <c r="J90" s="7"/>
      <c r="K90" s="6"/>
      <c r="L90" s="6"/>
      <c r="M90" s="8" t="str">
        <f t="shared" si="44"/>
        <v/>
      </c>
      <c r="N90" s="9" t="str">
        <f t="shared" si="45"/>
        <v/>
      </c>
      <c r="O90" s="8" t="str">
        <f t="shared" si="46"/>
        <v/>
      </c>
      <c r="P90" s="9" t="str">
        <f t="shared" si="47"/>
        <v/>
      </c>
      <c r="Q90" s="8" t="str">
        <f t="shared" si="48"/>
        <v/>
      </c>
      <c r="R90" s="8" t="str">
        <f t="shared" si="49"/>
        <v/>
      </c>
      <c r="S90" s="9" t="str">
        <f t="shared" si="50"/>
        <v/>
      </c>
      <c r="T90" s="8" t="str">
        <f t="shared" si="51"/>
        <v/>
      </c>
      <c r="U90" s="9" t="str">
        <f t="shared" si="52"/>
        <v/>
      </c>
      <c r="V90" s="8" t="str">
        <f t="shared" si="53"/>
        <v/>
      </c>
      <c r="W90" s="9" t="str">
        <f t="shared" si="54"/>
        <v/>
      </c>
      <c r="X90" s="8" t="str">
        <f t="shared" si="55"/>
        <v/>
      </c>
      <c r="Y90" s="8" t="str">
        <f t="shared" si="56"/>
        <v/>
      </c>
      <c r="Z90" s="9" t="str">
        <f t="shared" si="57"/>
        <v/>
      </c>
      <c r="AA90" s="8" t="str">
        <f t="shared" si="58"/>
        <v/>
      </c>
      <c r="AB90" s="9" t="str">
        <f t="shared" si="59"/>
        <v/>
      </c>
      <c r="AC90" s="8" t="str">
        <f t="shared" si="60"/>
        <v/>
      </c>
      <c r="AD90" s="9" t="str">
        <f t="shared" si="61"/>
        <v/>
      </c>
      <c r="AE90" s="8" t="str">
        <f t="shared" si="62"/>
        <v/>
      </c>
      <c r="AF90" s="8" t="str">
        <f t="shared" si="63"/>
        <v/>
      </c>
      <c r="AG90" s="9" t="str">
        <f t="shared" si="64"/>
        <v/>
      </c>
      <c r="AH90" s="5" t="str">
        <f t="shared" si="65"/>
        <v/>
      </c>
      <c r="AI90" s="12" t="str">
        <f>IFERROR(VLOOKUP($B90,DM_Doanh_nghiep!$A$2:$I$1501,9,FALSE),"")</f>
        <v/>
      </c>
    </row>
    <row r="91" spans="1:35">
      <c r="A91" s="3"/>
      <c r="B91" s="4"/>
      <c r="C91" s="5" t="str">
        <f>IFERROR(VLOOKUP($B91,DM_Doanh_nghiep!$A$2:$H$1001,2,FALSE),"")</f>
        <v/>
      </c>
      <c r="D91" s="5" t="str">
        <f>IFERROR(VLOOKUP($B91,DM_Doanh_nghiep!$A$2:$H$1001,4,FALSE),"")</f>
        <v/>
      </c>
      <c r="E91" s="5" t="str">
        <f>IFERROR(VLOOKUP($B91,DM_Doanh_nghiep!$A$2:$H$1001,5,FALSE),"")</f>
        <v/>
      </c>
      <c r="F91" s="6"/>
      <c r="G91" s="6"/>
      <c r="H91" s="7"/>
      <c r="I91" s="7"/>
      <c r="J91" s="7"/>
      <c r="K91" s="6"/>
      <c r="L91" s="6"/>
      <c r="M91" s="8" t="str">
        <f t="shared" si="44"/>
        <v/>
      </c>
      <c r="N91" s="9" t="str">
        <f t="shared" si="45"/>
        <v/>
      </c>
      <c r="O91" s="8" t="str">
        <f t="shared" si="46"/>
        <v/>
      </c>
      <c r="P91" s="9" t="str">
        <f t="shared" si="47"/>
        <v/>
      </c>
      <c r="Q91" s="8" t="str">
        <f t="shared" si="48"/>
        <v/>
      </c>
      <c r="R91" s="8" t="str">
        <f t="shared" si="49"/>
        <v/>
      </c>
      <c r="S91" s="9" t="str">
        <f t="shared" si="50"/>
        <v/>
      </c>
      <c r="T91" s="8" t="str">
        <f t="shared" si="51"/>
        <v/>
      </c>
      <c r="U91" s="9" t="str">
        <f t="shared" si="52"/>
        <v/>
      </c>
      <c r="V91" s="8" t="str">
        <f t="shared" si="53"/>
        <v/>
      </c>
      <c r="W91" s="9" t="str">
        <f t="shared" si="54"/>
        <v/>
      </c>
      <c r="X91" s="8" t="str">
        <f t="shared" si="55"/>
        <v/>
      </c>
      <c r="Y91" s="8" t="str">
        <f t="shared" si="56"/>
        <v/>
      </c>
      <c r="Z91" s="9" t="str">
        <f t="shared" si="57"/>
        <v/>
      </c>
      <c r="AA91" s="8" t="str">
        <f t="shared" si="58"/>
        <v/>
      </c>
      <c r="AB91" s="9" t="str">
        <f t="shared" si="59"/>
        <v/>
      </c>
      <c r="AC91" s="8" t="str">
        <f t="shared" si="60"/>
        <v/>
      </c>
      <c r="AD91" s="9" t="str">
        <f t="shared" si="61"/>
        <v/>
      </c>
      <c r="AE91" s="8" t="str">
        <f t="shared" si="62"/>
        <v/>
      </c>
      <c r="AF91" s="8" t="str">
        <f t="shared" si="63"/>
        <v/>
      </c>
      <c r="AG91" s="9" t="str">
        <f t="shared" si="64"/>
        <v/>
      </c>
      <c r="AH91" s="5" t="str">
        <f t="shared" si="65"/>
        <v/>
      </c>
      <c r="AI91" s="12" t="str">
        <f>IFERROR(VLOOKUP($B91,DM_Doanh_nghiep!$A$2:$I$1501,9,FALSE),"")</f>
        <v/>
      </c>
    </row>
    <row r="92" spans="1:35">
      <c r="A92" s="3"/>
      <c r="B92" s="4"/>
      <c r="C92" s="5" t="str">
        <f>IFERROR(VLOOKUP($B92,DM_Doanh_nghiep!$A$2:$H$1001,2,FALSE),"")</f>
        <v/>
      </c>
      <c r="D92" s="5" t="str">
        <f>IFERROR(VLOOKUP($B92,DM_Doanh_nghiep!$A$2:$H$1001,4,FALSE),"")</f>
        <v/>
      </c>
      <c r="E92" s="5" t="str">
        <f>IFERROR(VLOOKUP($B92,DM_Doanh_nghiep!$A$2:$H$1001,5,FALSE),"")</f>
        <v/>
      </c>
      <c r="F92" s="6"/>
      <c r="G92" s="6"/>
      <c r="H92" s="7"/>
      <c r="I92" s="7"/>
      <c r="J92" s="7"/>
      <c r="K92" s="6"/>
      <c r="L92" s="6"/>
      <c r="M92" s="8" t="str">
        <f t="shared" si="44"/>
        <v/>
      </c>
      <c r="N92" s="9" t="str">
        <f t="shared" si="45"/>
        <v/>
      </c>
      <c r="O92" s="8" t="str">
        <f t="shared" si="46"/>
        <v/>
      </c>
      <c r="P92" s="9" t="str">
        <f t="shared" si="47"/>
        <v/>
      </c>
      <c r="Q92" s="8" t="str">
        <f t="shared" si="48"/>
        <v/>
      </c>
      <c r="R92" s="8" t="str">
        <f t="shared" si="49"/>
        <v/>
      </c>
      <c r="S92" s="9" t="str">
        <f t="shared" si="50"/>
        <v/>
      </c>
      <c r="T92" s="8" t="str">
        <f t="shared" si="51"/>
        <v/>
      </c>
      <c r="U92" s="9" t="str">
        <f t="shared" si="52"/>
        <v/>
      </c>
      <c r="V92" s="8" t="str">
        <f t="shared" si="53"/>
        <v/>
      </c>
      <c r="W92" s="9" t="str">
        <f t="shared" si="54"/>
        <v/>
      </c>
      <c r="X92" s="8" t="str">
        <f t="shared" si="55"/>
        <v/>
      </c>
      <c r="Y92" s="8" t="str">
        <f t="shared" si="56"/>
        <v/>
      </c>
      <c r="Z92" s="9" t="str">
        <f t="shared" si="57"/>
        <v/>
      </c>
      <c r="AA92" s="8" t="str">
        <f t="shared" si="58"/>
        <v/>
      </c>
      <c r="AB92" s="9" t="str">
        <f t="shared" si="59"/>
        <v/>
      </c>
      <c r="AC92" s="8" t="str">
        <f t="shared" si="60"/>
        <v/>
      </c>
      <c r="AD92" s="9" t="str">
        <f t="shared" si="61"/>
        <v/>
      </c>
      <c r="AE92" s="8" t="str">
        <f t="shared" si="62"/>
        <v/>
      </c>
      <c r="AF92" s="8" t="str">
        <f t="shared" si="63"/>
        <v/>
      </c>
      <c r="AG92" s="9" t="str">
        <f t="shared" si="64"/>
        <v/>
      </c>
      <c r="AH92" s="5" t="str">
        <f t="shared" si="65"/>
        <v/>
      </c>
      <c r="AI92" s="12" t="str">
        <f>IFERROR(VLOOKUP($B92,DM_Doanh_nghiep!$A$2:$I$1501,9,FALSE),"")</f>
        <v/>
      </c>
    </row>
    <row r="93" spans="1:35">
      <c r="A93" s="3"/>
      <c r="B93" s="4"/>
      <c r="C93" s="5" t="str">
        <f>IFERROR(VLOOKUP($B93,DM_Doanh_nghiep!$A$2:$H$1001,2,FALSE),"")</f>
        <v/>
      </c>
      <c r="D93" s="5" t="str">
        <f>IFERROR(VLOOKUP($B93,DM_Doanh_nghiep!$A$2:$H$1001,4,FALSE),"")</f>
        <v/>
      </c>
      <c r="E93" s="5" t="str">
        <f>IFERROR(VLOOKUP($B93,DM_Doanh_nghiep!$A$2:$H$1001,5,FALSE),"")</f>
        <v/>
      </c>
      <c r="F93" s="6"/>
      <c r="G93" s="6"/>
      <c r="H93" s="7"/>
      <c r="I93" s="7"/>
      <c r="J93" s="7"/>
      <c r="K93" s="6"/>
      <c r="L93" s="6"/>
      <c r="M93" s="8" t="str">
        <f t="shared" si="44"/>
        <v/>
      </c>
      <c r="N93" s="9" t="str">
        <f t="shared" si="45"/>
        <v/>
      </c>
      <c r="O93" s="8" t="str">
        <f t="shared" si="46"/>
        <v/>
      </c>
      <c r="P93" s="9" t="str">
        <f t="shared" si="47"/>
        <v/>
      </c>
      <c r="Q93" s="8" t="str">
        <f t="shared" si="48"/>
        <v/>
      </c>
      <c r="R93" s="8" t="str">
        <f t="shared" si="49"/>
        <v/>
      </c>
      <c r="S93" s="9" t="str">
        <f t="shared" si="50"/>
        <v/>
      </c>
      <c r="T93" s="8" t="str">
        <f t="shared" si="51"/>
        <v/>
      </c>
      <c r="U93" s="9" t="str">
        <f t="shared" si="52"/>
        <v/>
      </c>
      <c r="V93" s="8" t="str">
        <f t="shared" si="53"/>
        <v/>
      </c>
      <c r="W93" s="9" t="str">
        <f t="shared" si="54"/>
        <v/>
      </c>
      <c r="X93" s="8" t="str">
        <f t="shared" si="55"/>
        <v/>
      </c>
      <c r="Y93" s="8" t="str">
        <f t="shared" si="56"/>
        <v/>
      </c>
      <c r="Z93" s="9" t="str">
        <f t="shared" si="57"/>
        <v/>
      </c>
      <c r="AA93" s="8" t="str">
        <f t="shared" si="58"/>
        <v/>
      </c>
      <c r="AB93" s="9" t="str">
        <f t="shared" si="59"/>
        <v/>
      </c>
      <c r="AC93" s="8" t="str">
        <f t="shared" si="60"/>
        <v/>
      </c>
      <c r="AD93" s="9" t="str">
        <f t="shared" si="61"/>
        <v/>
      </c>
      <c r="AE93" s="8" t="str">
        <f t="shared" si="62"/>
        <v/>
      </c>
      <c r="AF93" s="8" t="str">
        <f t="shared" si="63"/>
        <v/>
      </c>
      <c r="AG93" s="9" t="str">
        <f t="shared" si="64"/>
        <v/>
      </c>
      <c r="AH93" s="5" t="str">
        <f t="shared" si="65"/>
        <v/>
      </c>
      <c r="AI93" s="12" t="str">
        <f>IFERROR(VLOOKUP($B93,DM_Doanh_nghiep!$A$2:$I$1501,9,FALSE),"")</f>
        <v/>
      </c>
    </row>
    <row r="94" spans="1:35">
      <c r="A94" s="3"/>
      <c r="B94" s="4"/>
      <c r="C94" s="5" t="str">
        <f>IFERROR(VLOOKUP($B94,DM_Doanh_nghiep!$A$2:$H$1001,2,FALSE),"")</f>
        <v/>
      </c>
      <c r="D94" s="5" t="str">
        <f>IFERROR(VLOOKUP($B94,DM_Doanh_nghiep!$A$2:$H$1001,4,FALSE),"")</f>
        <v/>
      </c>
      <c r="E94" s="5" t="str">
        <f>IFERROR(VLOOKUP($B94,DM_Doanh_nghiep!$A$2:$H$1001,5,FALSE),"")</f>
        <v/>
      </c>
      <c r="F94" s="6"/>
      <c r="G94" s="6"/>
      <c r="H94" s="7"/>
      <c r="I94" s="7"/>
      <c r="J94" s="7"/>
      <c r="K94" s="6"/>
      <c r="L94" s="6"/>
      <c r="M94" s="8" t="str">
        <f t="shared" si="44"/>
        <v/>
      </c>
      <c r="N94" s="9" t="str">
        <f t="shared" si="45"/>
        <v/>
      </c>
      <c r="O94" s="8" t="str">
        <f t="shared" si="46"/>
        <v/>
      </c>
      <c r="P94" s="9" t="str">
        <f t="shared" si="47"/>
        <v/>
      </c>
      <c r="Q94" s="8" t="str">
        <f t="shared" si="48"/>
        <v/>
      </c>
      <c r="R94" s="8" t="str">
        <f t="shared" si="49"/>
        <v/>
      </c>
      <c r="S94" s="9" t="str">
        <f t="shared" si="50"/>
        <v/>
      </c>
      <c r="T94" s="8" t="str">
        <f t="shared" si="51"/>
        <v/>
      </c>
      <c r="U94" s="9" t="str">
        <f t="shared" si="52"/>
        <v/>
      </c>
      <c r="V94" s="8" t="str">
        <f t="shared" si="53"/>
        <v/>
      </c>
      <c r="W94" s="9" t="str">
        <f t="shared" si="54"/>
        <v/>
      </c>
      <c r="X94" s="8" t="str">
        <f t="shared" si="55"/>
        <v/>
      </c>
      <c r="Y94" s="8" t="str">
        <f t="shared" si="56"/>
        <v/>
      </c>
      <c r="Z94" s="9" t="str">
        <f t="shared" si="57"/>
        <v/>
      </c>
      <c r="AA94" s="8" t="str">
        <f t="shared" si="58"/>
        <v/>
      </c>
      <c r="AB94" s="9" t="str">
        <f t="shared" si="59"/>
        <v/>
      </c>
      <c r="AC94" s="8" t="str">
        <f t="shared" si="60"/>
        <v/>
      </c>
      <c r="AD94" s="9" t="str">
        <f t="shared" si="61"/>
        <v/>
      </c>
      <c r="AE94" s="8" t="str">
        <f t="shared" si="62"/>
        <v/>
      </c>
      <c r="AF94" s="8" t="str">
        <f t="shared" si="63"/>
        <v/>
      </c>
      <c r="AG94" s="9" t="str">
        <f t="shared" si="64"/>
        <v/>
      </c>
      <c r="AH94" s="5" t="str">
        <f t="shared" si="65"/>
        <v/>
      </c>
      <c r="AI94" s="12" t="str">
        <f>IFERROR(VLOOKUP($B94,DM_Doanh_nghiep!$A$2:$I$1501,9,FALSE),"")</f>
        <v/>
      </c>
    </row>
    <row r="95" spans="1:35">
      <c r="A95" s="3"/>
      <c r="B95" s="4"/>
      <c r="C95" s="5" t="str">
        <f>IFERROR(VLOOKUP($B95,DM_Doanh_nghiep!$A$2:$H$1001,2,FALSE),"")</f>
        <v/>
      </c>
      <c r="D95" s="5" t="str">
        <f>IFERROR(VLOOKUP($B95,DM_Doanh_nghiep!$A$2:$H$1001,4,FALSE),"")</f>
        <v/>
      </c>
      <c r="E95" s="5" t="str">
        <f>IFERROR(VLOOKUP($B95,DM_Doanh_nghiep!$A$2:$H$1001,5,FALSE),"")</f>
        <v/>
      </c>
      <c r="F95" s="6"/>
      <c r="G95" s="6"/>
      <c r="H95" s="7"/>
      <c r="I95" s="7"/>
      <c r="J95" s="7"/>
      <c r="K95" s="6"/>
      <c r="L95" s="6"/>
      <c r="M95" s="8" t="str">
        <f t="shared" si="44"/>
        <v/>
      </c>
      <c r="N95" s="9" t="str">
        <f t="shared" si="45"/>
        <v/>
      </c>
      <c r="O95" s="8" t="str">
        <f t="shared" si="46"/>
        <v/>
      </c>
      <c r="P95" s="9" t="str">
        <f t="shared" si="47"/>
        <v/>
      </c>
      <c r="Q95" s="8" t="str">
        <f t="shared" si="48"/>
        <v/>
      </c>
      <c r="R95" s="8" t="str">
        <f t="shared" si="49"/>
        <v/>
      </c>
      <c r="S95" s="9" t="str">
        <f t="shared" si="50"/>
        <v/>
      </c>
      <c r="T95" s="8" t="str">
        <f t="shared" si="51"/>
        <v/>
      </c>
      <c r="U95" s="9" t="str">
        <f t="shared" si="52"/>
        <v/>
      </c>
      <c r="V95" s="8" t="str">
        <f t="shared" si="53"/>
        <v/>
      </c>
      <c r="W95" s="9" t="str">
        <f t="shared" si="54"/>
        <v/>
      </c>
      <c r="X95" s="8" t="str">
        <f t="shared" si="55"/>
        <v/>
      </c>
      <c r="Y95" s="8" t="str">
        <f t="shared" si="56"/>
        <v/>
      </c>
      <c r="Z95" s="9" t="str">
        <f t="shared" si="57"/>
        <v/>
      </c>
      <c r="AA95" s="8" t="str">
        <f t="shared" si="58"/>
        <v/>
      </c>
      <c r="AB95" s="9" t="str">
        <f t="shared" si="59"/>
        <v/>
      </c>
      <c r="AC95" s="8" t="str">
        <f t="shared" si="60"/>
        <v/>
      </c>
      <c r="AD95" s="9" t="str">
        <f t="shared" si="61"/>
        <v/>
      </c>
      <c r="AE95" s="8" t="str">
        <f t="shared" si="62"/>
        <v/>
      </c>
      <c r="AF95" s="8" t="str">
        <f t="shared" si="63"/>
        <v/>
      </c>
      <c r="AG95" s="9" t="str">
        <f t="shared" si="64"/>
        <v/>
      </c>
      <c r="AH95" s="5" t="str">
        <f t="shared" si="65"/>
        <v/>
      </c>
      <c r="AI95" s="12" t="str">
        <f>IFERROR(VLOOKUP($B95,DM_Doanh_nghiep!$A$2:$I$1501,9,FALSE),"")</f>
        <v/>
      </c>
    </row>
    <row r="96" spans="1:35">
      <c r="A96" s="3"/>
      <c r="B96" s="4"/>
      <c r="C96" s="5" t="str">
        <f>IFERROR(VLOOKUP($B96,DM_Doanh_nghiep!$A$2:$H$1001,2,FALSE),"")</f>
        <v/>
      </c>
      <c r="D96" s="5" t="str">
        <f>IFERROR(VLOOKUP($B96,DM_Doanh_nghiep!$A$2:$H$1001,4,FALSE),"")</f>
        <v/>
      </c>
      <c r="E96" s="5" t="str">
        <f>IFERROR(VLOOKUP($B96,DM_Doanh_nghiep!$A$2:$H$1001,5,FALSE),"")</f>
        <v/>
      </c>
      <c r="F96" s="6"/>
      <c r="G96" s="6"/>
      <c r="H96" s="7"/>
      <c r="I96" s="7"/>
      <c r="J96" s="7"/>
      <c r="K96" s="6"/>
      <c r="L96" s="6"/>
      <c r="M96" s="8" t="str">
        <f t="shared" si="44"/>
        <v/>
      </c>
      <c r="N96" s="9" t="str">
        <f t="shared" si="45"/>
        <v/>
      </c>
      <c r="O96" s="8" t="str">
        <f t="shared" si="46"/>
        <v/>
      </c>
      <c r="P96" s="9" t="str">
        <f t="shared" si="47"/>
        <v/>
      </c>
      <c r="Q96" s="8" t="str">
        <f t="shared" si="48"/>
        <v/>
      </c>
      <c r="R96" s="8" t="str">
        <f t="shared" si="49"/>
        <v/>
      </c>
      <c r="S96" s="9" t="str">
        <f t="shared" si="50"/>
        <v/>
      </c>
      <c r="T96" s="8" t="str">
        <f t="shared" si="51"/>
        <v/>
      </c>
      <c r="U96" s="9" t="str">
        <f t="shared" si="52"/>
        <v/>
      </c>
      <c r="V96" s="8" t="str">
        <f t="shared" si="53"/>
        <v/>
      </c>
      <c r="W96" s="9" t="str">
        <f t="shared" si="54"/>
        <v/>
      </c>
      <c r="X96" s="8" t="str">
        <f t="shared" si="55"/>
        <v/>
      </c>
      <c r="Y96" s="8" t="str">
        <f t="shared" si="56"/>
        <v/>
      </c>
      <c r="Z96" s="9" t="str">
        <f t="shared" si="57"/>
        <v/>
      </c>
      <c r="AA96" s="8" t="str">
        <f t="shared" si="58"/>
        <v/>
      </c>
      <c r="AB96" s="9" t="str">
        <f t="shared" si="59"/>
        <v/>
      </c>
      <c r="AC96" s="8" t="str">
        <f t="shared" si="60"/>
        <v/>
      </c>
      <c r="AD96" s="9" t="str">
        <f t="shared" si="61"/>
        <v/>
      </c>
      <c r="AE96" s="8" t="str">
        <f t="shared" si="62"/>
        <v/>
      </c>
      <c r="AF96" s="8" t="str">
        <f t="shared" si="63"/>
        <v/>
      </c>
      <c r="AG96" s="9" t="str">
        <f t="shared" si="64"/>
        <v/>
      </c>
      <c r="AH96" s="5" t="str">
        <f t="shared" si="65"/>
        <v/>
      </c>
      <c r="AI96" s="12" t="str">
        <f>IFERROR(VLOOKUP($B96,DM_Doanh_nghiep!$A$2:$I$1501,9,FALSE),"")</f>
        <v/>
      </c>
    </row>
    <row r="97" spans="1:35">
      <c r="A97" s="3"/>
      <c r="B97" s="4"/>
      <c r="C97" s="5" t="str">
        <f>IFERROR(VLOOKUP($B97,DM_Doanh_nghiep!$A$2:$H$1001,2,FALSE),"")</f>
        <v/>
      </c>
      <c r="D97" s="5" t="str">
        <f>IFERROR(VLOOKUP($B97,DM_Doanh_nghiep!$A$2:$H$1001,4,FALSE),"")</f>
        <v/>
      </c>
      <c r="E97" s="5" t="str">
        <f>IFERROR(VLOOKUP($B97,DM_Doanh_nghiep!$A$2:$H$1001,5,FALSE),"")</f>
        <v/>
      </c>
      <c r="F97" s="6"/>
      <c r="G97" s="6"/>
      <c r="H97" s="7"/>
      <c r="I97" s="7"/>
      <c r="J97" s="7"/>
      <c r="K97" s="6"/>
      <c r="L97" s="6"/>
      <c r="M97" s="8" t="str">
        <f t="shared" si="44"/>
        <v/>
      </c>
      <c r="N97" s="9" t="str">
        <f t="shared" si="45"/>
        <v/>
      </c>
      <c r="O97" s="8" t="str">
        <f t="shared" si="46"/>
        <v/>
      </c>
      <c r="P97" s="9" t="str">
        <f t="shared" si="47"/>
        <v/>
      </c>
      <c r="Q97" s="8" t="str">
        <f t="shared" si="48"/>
        <v/>
      </c>
      <c r="R97" s="8" t="str">
        <f t="shared" si="49"/>
        <v/>
      </c>
      <c r="S97" s="9" t="str">
        <f t="shared" si="50"/>
        <v/>
      </c>
      <c r="T97" s="8" t="str">
        <f t="shared" si="51"/>
        <v/>
      </c>
      <c r="U97" s="9" t="str">
        <f t="shared" si="52"/>
        <v/>
      </c>
      <c r="V97" s="8" t="str">
        <f t="shared" si="53"/>
        <v/>
      </c>
      <c r="W97" s="9" t="str">
        <f t="shared" si="54"/>
        <v/>
      </c>
      <c r="X97" s="8" t="str">
        <f t="shared" si="55"/>
        <v/>
      </c>
      <c r="Y97" s="8" t="str">
        <f t="shared" si="56"/>
        <v/>
      </c>
      <c r="Z97" s="9" t="str">
        <f t="shared" si="57"/>
        <v/>
      </c>
      <c r="AA97" s="8" t="str">
        <f t="shared" si="58"/>
        <v/>
      </c>
      <c r="AB97" s="9" t="str">
        <f t="shared" si="59"/>
        <v/>
      </c>
      <c r="AC97" s="8" t="str">
        <f t="shared" si="60"/>
        <v/>
      </c>
      <c r="AD97" s="9" t="str">
        <f t="shared" si="61"/>
        <v/>
      </c>
      <c r="AE97" s="8" t="str">
        <f t="shared" si="62"/>
        <v/>
      </c>
      <c r="AF97" s="8" t="str">
        <f t="shared" si="63"/>
        <v/>
      </c>
      <c r="AG97" s="9" t="str">
        <f t="shared" si="64"/>
        <v/>
      </c>
      <c r="AH97" s="5" t="str">
        <f t="shared" si="65"/>
        <v/>
      </c>
      <c r="AI97" s="12" t="str">
        <f>IFERROR(VLOOKUP($B97,DM_Doanh_nghiep!$A$2:$I$1501,9,FALSE),"")</f>
        <v/>
      </c>
    </row>
    <row r="98" spans="1:35">
      <c r="A98" s="3"/>
      <c r="B98" s="4"/>
      <c r="C98" s="5" t="str">
        <f>IFERROR(VLOOKUP($B98,DM_Doanh_nghiep!$A$2:$H$1001,2,FALSE),"")</f>
        <v/>
      </c>
      <c r="D98" s="5" t="str">
        <f>IFERROR(VLOOKUP($B98,DM_Doanh_nghiep!$A$2:$H$1001,4,FALSE),"")</f>
        <v/>
      </c>
      <c r="E98" s="5" t="str">
        <f>IFERROR(VLOOKUP($B98,DM_Doanh_nghiep!$A$2:$H$1001,5,FALSE),"")</f>
        <v/>
      </c>
      <c r="F98" s="6"/>
      <c r="G98" s="6"/>
      <c r="H98" s="7"/>
      <c r="I98" s="7"/>
      <c r="J98" s="7"/>
      <c r="K98" s="6"/>
      <c r="L98" s="6"/>
      <c r="M98" s="8" t="str">
        <f t="shared" si="44"/>
        <v/>
      </c>
      <c r="N98" s="9" t="str">
        <f t="shared" si="45"/>
        <v/>
      </c>
      <c r="O98" s="8" t="str">
        <f t="shared" si="46"/>
        <v/>
      </c>
      <c r="P98" s="9" t="str">
        <f t="shared" si="47"/>
        <v/>
      </c>
      <c r="Q98" s="8" t="str">
        <f t="shared" si="48"/>
        <v/>
      </c>
      <c r="R98" s="8" t="str">
        <f t="shared" si="49"/>
        <v/>
      </c>
      <c r="S98" s="9" t="str">
        <f t="shared" si="50"/>
        <v/>
      </c>
      <c r="T98" s="8" t="str">
        <f t="shared" si="51"/>
        <v/>
      </c>
      <c r="U98" s="9" t="str">
        <f t="shared" si="52"/>
        <v/>
      </c>
      <c r="V98" s="8" t="str">
        <f t="shared" si="53"/>
        <v/>
      </c>
      <c r="W98" s="9" t="str">
        <f t="shared" si="54"/>
        <v/>
      </c>
      <c r="X98" s="8" t="str">
        <f t="shared" si="55"/>
        <v/>
      </c>
      <c r="Y98" s="8" t="str">
        <f t="shared" si="56"/>
        <v/>
      </c>
      <c r="Z98" s="9" t="str">
        <f t="shared" si="57"/>
        <v/>
      </c>
      <c r="AA98" s="8" t="str">
        <f t="shared" si="58"/>
        <v/>
      </c>
      <c r="AB98" s="9" t="str">
        <f t="shared" si="59"/>
        <v/>
      </c>
      <c r="AC98" s="8" t="str">
        <f t="shared" si="60"/>
        <v/>
      </c>
      <c r="AD98" s="9" t="str">
        <f t="shared" si="61"/>
        <v/>
      </c>
      <c r="AE98" s="8" t="str">
        <f t="shared" si="62"/>
        <v/>
      </c>
      <c r="AF98" s="8" t="str">
        <f t="shared" si="63"/>
        <v/>
      </c>
      <c r="AG98" s="9" t="str">
        <f t="shared" si="64"/>
        <v/>
      </c>
      <c r="AH98" s="5" t="str">
        <f t="shared" si="65"/>
        <v/>
      </c>
      <c r="AI98" s="12" t="str">
        <f>IFERROR(VLOOKUP($B98,DM_Doanh_nghiep!$A$2:$I$1501,9,FALSE),"")</f>
        <v/>
      </c>
    </row>
    <row r="99" spans="1:35">
      <c r="A99" s="3"/>
      <c r="B99" s="4"/>
      <c r="C99" s="5" t="str">
        <f>IFERROR(VLOOKUP($B99,DM_Doanh_nghiep!$A$2:$H$1001,2,FALSE),"")</f>
        <v/>
      </c>
      <c r="D99" s="5" t="str">
        <f>IFERROR(VLOOKUP($B99,DM_Doanh_nghiep!$A$2:$H$1001,4,FALSE),"")</f>
        <v/>
      </c>
      <c r="E99" s="5" t="str">
        <f>IFERROR(VLOOKUP($B99,DM_Doanh_nghiep!$A$2:$H$1001,5,FALSE),"")</f>
        <v/>
      </c>
      <c r="F99" s="6"/>
      <c r="G99" s="6"/>
      <c r="H99" s="7"/>
      <c r="I99" s="7"/>
      <c r="J99" s="7"/>
      <c r="K99" s="6"/>
      <c r="L99" s="6"/>
      <c r="M99" s="8" t="str">
        <f t="shared" si="44"/>
        <v/>
      </c>
      <c r="N99" s="9" t="str">
        <f t="shared" si="45"/>
        <v/>
      </c>
      <c r="O99" s="8" t="str">
        <f t="shared" si="46"/>
        <v/>
      </c>
      <c r="P99" s="9" t="str">
        <f t="shared" si="47"/>
        <v/>
      </c>
      <c r="Q99" s="8" t="str">
        <f t="shared" si="48"/>
        <v/>
      </c>
      <c r="R99" s="8" t="str">
        <f t="shared" si="49"/>
        <v/>
      </c>
      <c r="S99" s="9" t="str">
        <f t="shared" si="50"/>
        <v/>
      </c>
      <c r="T99" s="8" t="str">
        <f t="shared" si="51"/>
        <v/>
      </c>
      <c r="U99" s="9" t="str">
        <f t="shared" si="52"/>
        <v/>
      </c>
      <c r="V99" s="8" t="str">
        <f t="shared" si="53"/>
        <v/>
      </c>
      <c r="W99" s="9" t="str">
        <f t="shared" si="54"/>
        <v/>
      </c>
      <c r="X99" s="8" t="str">
        <f t="shared" si="55"/>
        <v/>
      </c>
      <c r="Y99" s="8" t="str">
        <f t="shared" si="56"/>
        <v/>
      </c>
      <c r="Z99" s="9" t="str">
        <f t="shared" si="57"/>
        <v/>
      </c>
      <c r="AA99" s="8" t="str">
        <f t="shared" si="58"/>
        <v/>
      </c>
      <c r="AB99" s="9" t="str">
        <f t="shared" si="59"/>
        <v/>
      </c>
      <c r="AC99" s="8" t="str">
        <f t="shared" si="60"/>
        <v/>
      </c>
      <c r="AD99" s="9" t="str">
        <f t="shared" si="61"/>
        <v/>
      </c>
      <c r="AE99" s="8" t="str">
        <f t="shared" si="62"/>
        <v/>
      </c>
      <c r="AF99" s="8" t="str">
        <f t="shared" si="63"/>
        <v/>
      </c>
      <c r="AG99" s="9" t="str">
        <f t="shared" si="64"/>
        <v/>
      </c>
      <c r="AH99" s="5" t="str">
        <f t="shared" si="65"/>
        <v/>
      </c>
      <c r="AI99" s="12" t="str">
        <f>IFERROR(VLOOKUP($B99,DM_Doanh_nghiep!$A$2:$I$1501,9,FALSE),"")</f>
        <v/>
      </c>
    </row>
    <row r="100" spans="1:35">
      <c r="A100" s="3"/>
      <c r="B100" s="4"/>
      <c r="C100" s="5" t="str">
        <f>IFERROR(VLOOKUP($B100,DM_Doanh_nghiep!$A$2:$H$1001,2,FALSE),"")</f>
        <v/>
      </c>
      <c r="D100" s="5" t="str">
        <f>IFERROR(VLOOKUP($B100,DM_Doanh_nghiep!$A$2:$H$1001,4,FALSE),"")</f>
        <v/>
      </c>
      <c r="E100" s="5" t="str">
        <f>IFERROR(VLOOKUP($B100,DM_Doanh_nghiep!$A$2:$H$1001,5,FALSE),"")</f>
        <v/>
      </c>
      <c r="F100" s="6"/>
      <c r="G100" s="6"/>
      <c r="H100" s="7"/>
      <c r="I100" s="7"/>
      <c r="J100" s="7"/>
      <c r="K100" s="6"/>
      <c r="L100" s="6"/>
      <c r="M100" s="8" t="str">
        <f t="shared" si="44"/>
        <v/>
      </c>
      <c r="N100" s="9" t="str">
        <f t="shared" si="45"/>
        <v/>
      </c>
      <c r="O100" s="8" t="str">
        <f t="shared" si="46"/>
        <v/>
      </c>
      <c r="P100" s="9" t="str">
        <f t="shared" si="47"/>
        <v/>
      </c>
      <c r="Q100" s="8" t="str">
        <f t="shared" si="48"/>
        <v/>
      </c>
      <c r="R100" s="8" t="str">
        <f t="shared" si="49"/>
        <v/>
      </c>
      <c r="S100" s="9" t="str">
        <f t="shared" si="50"/>
        <v/>
      </c>
      <c r="T100" s="8" t="str">
        <f t="shared" si="51"/>
        <v/>
      </c>
      <c r="U100" s="9" t="str">
        <f t="shared" si="52"/>
        <v/>
      </c>
      <c r="V100" s="8" t="str">
        <f t="shared" si="53"/>
        <v/>
      </c>
      <c r="W100" s="9" t="str">
        <f t="shared" si="54"/>
        <v/>
      </c>
      <c r="X100" s="8" t="str">
        <f t="shared" si="55"/>
        <v/>
      </c>
      <c r="Y100" s="8" t="str">
        <f t="shared" si="56"/>
        <v/>
      </c>
      <c r="Z100" s="9" t="str">
        <f t="shared" si="57"/>
        <v/>
      </c>
      <c r="AA100" s="8" t="str">
        <f t="shared" si="58"/>
        <v/>
      </c>
      <c r="AB100" s="9" t="str">
        <f t="shared" si="59"/>
        <v/>
      </c>
      <c r="AC100" s="8" t="str">
        <f t="shared" si="60"/>
        <v/>
      </c>
      <c r="AD100" s="9" t="str">
        <f t="shared" si="61"/>
        <v/>
      </c>
      <c r="AE100" s="8" t="str">
        <f t="shared" si="62"/>
        <v/>
      </c>
      <c r="AF100" s="8" t="str">
        <f t="shared" si="63"/>
        <v/>
      </c>
      <c r="AG100" s="9" t="str">
        <f t="shared" si="64"/>
        <v/>
      </c>
      <c r="AH100" s="5" t="str">
        <f t="shared" si="65"/>
        <v/>
      </c>
      <c r="AI100" s="12" t="str">
        <f>IFERROR(VLOOKUP($B100,DM_Doanh_nghiep!$A$2:$I$1501,9,FALSE),"")</f>
        <v/>
      </c>
    </row>
    <row r="101" spans="1:35">
      <c r="A101" s="3"/>
      <c r="B101" s="4"/>
      <c r="C101" s="5" t="str">
        <f>IFERROR(VLOOKUP($B101,DM_Doanh_nghiep!$A$2:$H$1001,2,FALSE),"")</f>
        <v/>
      </c>
      <c r="D101" s="5" t="str">
        <f>IFERROR(VLOOKUP($B101,DM_Doanh_nghiep!$A$2:$H$1001,4,FALSE),"")</f>
        <v/>
      </c>
      <c r="E101" s="5" t="str">
        <f>IFERROR(VLOOKUP($B101,DM_Doanh_nghiep!$A$2:$H$1001,5,FALSE),"")</f>
        <v/>
      </c>
      <c r="F101" s="6"/>
      <c r="G101" s="6"/>
      <c r="H101" s="7"/>
      <c r="I101" s="7"/>
      <c r="J101" s="7"/>
      <c r="K101" s="6"/>
      <c r="L101" s="6"/>
      <c r="M101" s="8" t="str">
        <f t="shared" si="44"/>
        <v/>
      </c>
      <c r="N101" s="9" t="str">
        <f t="shared" si="45"/>
        <v/>
      </c>
      <c r="O101" s="8" t="str">
        <f t="shared" si="46"/>
        <v/>
      </c>
      <c r="P101" s="9" t="str">
        <f t="shared" si="47"/>
        <v/>
      </c>
      <c r="Q101" s="8" t="str">
        <f t="shared" si="48"/>
        <v/>
      </c>
      <c r="R101" s="8" t="str">
        <f t="shared" si="49"/>
        <v/>
      </c>
      <c r="S101" s="9" t="str">
        <f t="shared" si="50"/>
        <v/>
      </c>
      <c r="T101" s="8" t="str">
        <f t="shared" si="51"/>
        <v/>
      </c>
      <c r="U101" s="9" t="str">
        <f t="shared" si="52"/>
        <v/>
      </c>
      <c r="V101" s="8" t="str">
        <f t="shared" si="53"/>
        <v/>
      </c>
      <c r="W101" s="9" t="str">
        <f t="shared" si="54"/>
        <v/>
      </c>
      <c r="X101" s="8" t="str">
        <f t="shared" si="55"/>
        <v/>
      </c>
      <c r="Y101" s="8" t="str">
        <f t="shared" si="56"/>
        <v/>
      </c>
      <c r="Z101" s="9" t="str">
        <f t="shared" si="57"/>
        <v/>
      </c>
      <c r="AA101" s="8" t="str">
        <f t="shared" si="58"/>
        <v/>
      </c>
      <c r="AB101" s="9" t="str">
        <f t="shared" si="59"/>
        <v/>
      </c>
      <c r="AC101" s="8" t="str">
        <f t="shared" si="60"/>
        <v/>
      </c>
      <c r="AD101" s="9" t="str">
        <f t="shared" si="61"/>
        <v/>
      </c>
      <c r="AE101" s="8" t="str">
        <f t="shared" si="62"/>
        <v/>
      </c>
      <c r="AF101" s="8" t="str">
        <f t="shared" si="63"/>
        <v/>
      </c>
      <c r="AG101" s="9" t="str">
        <f t="shared" si="64"/>
        <v/>
      </c>
      <c r="AH101" s="5" t="str">
        <f t="shared" si="65"/>
        <v/>
      </c>
      <c r="AI101" s="12" t="str">
        <f>IFERROR(VLOOKUP($B101,DM_Doanh_nghiep!$A$2:$I$1501,9,FALSE),"")</f>
        <v/>
      </c>
    </row>
    <row r="102" spans="1:35">
      <c r="AI102" s="12" t="str">
        <f>IFERROR(VLOOKUP($B102,DM_Doanh_nghiep!$A$2:$I$1501,9,FALSE),"")</f>
        <v/>
      </c>
    </row>
    <row r="103" spans="1:35">
      <c r="AI103" s="12" t="str">
        <f>IFERROR(VLOOKUP($B103,DM_Doanh_nghiep!$A$2:$I$1501,9,FALSE),"")</f>
        <v/>
      </c>
    </row>
    <row r="104" spans="1:35">
      <c r="AI104" s="12" t="str">
        <f>IFERROR(VLOOKUP($B104,DM_Doanh_nghiep!$A$2:$I$1501,9,FALSE),"")</f>
        <v/>
      </c>
    </row>
    <row r="105" spans="1:35">
      <c r="AI105" s="12" t="str">
        <f>IFERROR(VLOOKUP($B105,DM_Doanh_nghiep!$A$2:$I$1501,9,FALSE),"")</f>
        <v/>
      </c>
    </row>
    <row r="106" spans="1:35">
      <c r="AI106" s="12" t="str">
        <f>IFERROR(VLOOKUP($B106,DM_Doanh_nghiep!$A$2:$I$1501,9,FALSE),"")</f>
        <v/>
      </c>
    </row>
    <row r="107" spans="1:35">
      <c r="AI107" s="12" t="str">
        <f>IFERROR(VLOOKUP($B107,DM_Doanh_nghiep!$A$2:$I$1501,9,FALSE),"")</f>
        <v/>
      </c>
    </row>
    <row r="108" spans="1:35">
      <c r="AI108" s="12" t="str">
        <f>IFERROR(VLOOKUP($B108,DM_Doanh_nghiep!$A$2:$I$1501,9,FALSE),"")</f>
        <v/>
      </c>
    </row>
    <row r="109" spans="1:35">
      <c r="AI109" s="12" t="str">
        <f>IFERROR(VLOOKUP($B109,DM_Doanh_nghiep!$A$2:$I$1501,9,FALSE),"")</f>
        <v/>
      </c>
    </row>
    <row r="110" spans="1:35">
      <c r="AI110" s="12" t="str">
        <f>IFERROR(VLOOKUP($B110,DM_Doanh_nghiep!$A$2:$I$1501,9,FALSE),"")</f>
        <v/>
      </c>
    </row>
    <row r="111" spans="1:35">
      <c r="AI111" s="12" t="str">
        <f>IFERROR(VLOOKUP($B111,DM_Doanh_nghiep!$A$2:$I$1501,9,FALSE),"")</f>
        <v/>
      </c>
    </row>
    <row r="112" spans="1:35">
      <c r="AI112" s="12" t="str">
        <f>IFERROR(VLOOKUP($B112,DM_Doanh_nghiep!$A$2:$I$1501,9,FALSE),"")</f>
        <v/>
      </c>
    </row>
    <row r="113" spans="35:35">
      <c r="AI113" s="12" t="str">
        <f>IFERROR(VLOOKUP($B113,DM_Doanh_nghiep!$A$2:$I$1501,9,FALSE),"")</f>
        <v/>
      </c>
    </row>
    <row r="114" spans="35:35">
      <c r="AI114" s="12" t="str">
        <f>IFERROR(VLOOKUP($B114,DM_Doanh_nghiep!$A$2:$I$1501,9,FALSE),"")</f>
        <v/>
      </c>
    </row>
    <row r="115" spans="35:35">
      <c r="AI115" s="12" t="str">
        <f>IFERROR(VLOOKUP($B115,DM_Doanh_nghiep!$A$2:$I$1501,9,FALSE),"")</f>
        <v/>
      </c>
    </row>
    <row r="116" spans="35:35">
      <c r="AI116" s="12" t="str">
        <f>IFERROR(VLOOKUP($B116,DM_Doanh_nghiep!$A$2:$I$1501,9,FALSE),"")</f>
        <v/>
      </c>
    </row>
    <row r="117" spans="35:35">
      <c r="AI117" s="12" t="str">
        <f>IFERROR(VLOOKUP($B117,DM_Doanh_nghiep!$A$2:$I$1501,9,FALSE),"")</f>
        <v/>
      </c>
    </row>
    <row r="118" spans="35:35">
      <c r="AI118" s="12" t="str">
        <f>IFERROR(VLOOKUP($B118,DM_Doanh_nghiep!$A$2:$I$1501,9,FALSE),"")</f>
        <v/>
      </c>
    </row>
    <row r="119" spans="35:35">
      <c r="AI119" s="12" t="str">
        <f>IFERROR(VLOOKUP($B119,DM_Doanh_nghiep!$A$2:$I$1501,9,FALSE),"")</f>
        <v/>
      </c>
    </row>
    <row r="120" spans="35:35">
      <c r="AI120" s="12" t="str">
        <f>IFERROR(VLOOKUP($B120,DM_Doanh_nghiep!$A$2:$I$1501,9,FALSE),"")</f>
        <v/>
      </c>
    </row>
    <row r="121" spans="35:35">
      <c r="AI121" s="12" t="str">
        <f>IFERROR(VLOOKUP($B121,DM_Doanh_nghiep!$A$2:$I$1501,9,FALSE),"")</f>
        <v/>
      </c>
    </row>
    <row r="122" spans="35:35">
      <c r="AI122" s="12" t="str">
        <f>IFERROR(VLOOKUP($B122,DM_Doanh_nghiep!$A$2:$I$1501,9,FALSE),"")</f>
        <v/>
      </c>
    </row>
    <row r="123" spans="35:35">
      <c r="AI123" s="12" t="str">
        <f>IFERROR(VLOOKUP($B123,DM_Doanh_nghiep!$A$2:$I$1501,9,FALSE),"")</f>
        <v/>
      </c>
    </row>
    <row r="124" spans="35:35">
      <c r="AI124" s="12" t="str">
        <f>IFERROR(VLOOKUP($B124,DM_Doanh_nghiep!$A$2:$I$1501,9,FALSE),"")</f>
        <v/>
      </c>
    </row>
    <row r="125" spans="35:35">
      <c r="AI125" s="12" t="str">
        <f>IFERROR(VLOOKUP($B125,DM_Doanh_nghiep!$A$2:$I$1501,9,FALSE),"")</f>
        <v/>
      </c>
    </row>
    <row r="126" spans="35:35">
      <c r="AI126" s="12" t="str">
        <f>IFERROR(VLOOKUP($B126,DM_Doanh_nghiep!$A$2:$I$1501,9,FALSE),"")</f>
        <v/>
      </c>
    </row>
    <row r="127" spans="35:35">
      <c r="AI127" s="12" t="str">
        <f>IFERROR(VLOOKUP($B127,DM_Doanh_nghiep!$A$2:$I$1501,9,FALSE),"")</f>
        <v/>
      </c>
    </row>
    <row r="128" spans="35:35">
      <c r="AI128" s="12" t="str">
        <f>IFERROR(VLOOKUP($B128,DM_Doanh_nghiep!$A$2:$I$1501,9,FALSE),"")</f>
        <v/>
      </c>
    </row>
    <row r="129" spans="35:35">
      <c r="AI129" s="12" t="str">
        <f>IFERROR(VLOOKUP($B129,DM_Doanh_nghiep!$A$2:$I$1501,9,FALSE),"")</f>
        <v/>
      </c>
    </row>
    <row r="130" spans="35:35">
      <c r="AI130" s="12" t="str">
        <f>IFERROR(VLOOKUP($B130,DM_Doanh_nghiep!$A$2:$I$1501,9,FALSE),"")</f>
        <v/>
      </c>
    </row>
    <row r="131" spans="35:35">
      <c r="AI131" s="12" t="str">
        <f>IFERROR(VLOOKUP($B131,DM_Doanh_nghiep!$A$2:$I$1501,9,FALSE),"")</f>
        <v/>
      </c>
    </row>
    <row r="132" spans="35:35">
      <c r="AI132" s="12" t="str">
        <f>IFERROR(VLOOKUP($B132,DM_Doanh_nghiep!$A$2:$I$1501,9,FALSE),"")</f>
        <v/>
      </c>
    </row>
    <row r="133" spans="35:35">
      <c r="AI133" s="12" t="str">
        <f>IFERROR(VLOOKUP($B133,DM_Doanh_nghiep!$A$2:$I$1501,9,FALSE),"")</f>
        <v/>
      </c>
    </row>
    <row r="134" spans="35:35">
      <c r="AI134" s="12" t="str">
        <f>IFERROR(VLOOKUP($B134,DM_Doanh_nghiep!$A$2:$I$1501,9,FALSE),"")</f>
        <v/>
      </c>
    </row>
    <row r="135" spans="35:35">
      <c r="AI135" s="12" t="str">
        <f>IFERROR(VLOOKUP($B135,DM_Doanh_nghiep!$A$2:$I$1501,9,FALSE),"")</f>
        <v/>
      </c>
    </row>
    <row r="136" spans="35:35">
      <c r="AI136" s="12" t="str">
        <f>IFERROR(VLOOKUP($B136,DM_Doanh_nghiep!$A$2:$I$1501,9,FALSE),"")</f>
        <v/>
      </c>
    </row>
    <row r="137" spans="35:35">
      <c r="AI137" s="12" t="str">
        <f>IFERROR(VLOOKUP($B137,DM_Doanh_nghiep!$A$2:$I$1501,9,FALSE),"")</f>
        <v/>
      </c>
    </row>
    <row r="138" spans="35:35">
      <c r="AI138" s="12" t="str">
        <f>IFERROR(VLOOKUP($B138,DM_Doanh_nghiep!$A$2:$I$1501,9,FALSE),"")</f>
        <v/>
      </c>
    </row>
    <row r="139" spans="35:35">
      <c r="AI139" s="12" t="str">
        <f>IFERROR(VLOOKUP($B139,DM_Doanh_nghiep!$A$2:$I$1501,9,FALSE),"")</f>
        <v/>
      </c>
    </row>
    <row r="140" spans="35:35">
      <c r="AI140" s="12" t="str">
        <f>IFERROR(VLOOKUP($B140,DM_Doanh_nghiep!$A$2:$I$1501,9,FALSE),"")</f>
        <v/>
      </c>
    </row>
    <row r="141" spans="35:35">
      <c r="AI141" s="12" t="str">
        <f>IFERROR(VLOOKUP($B141,DM_Doanh_nghiep!$A$2:$I$1501,9,FALSE),"")</f>
        <v/>
      </c>
    </row>
    <row r="142" spans="35:35">
      <c r="AI142" s="12" t="str">
        <f>IFERROR(VLOOKUP($B142,DM_Doanh_nghiep!$A$2:$I$1501,9,FALSE),"")</f>
        <v/>
      </c>
    </row>
    <row r="143" spans="35:35">
      <c r="AI143" s="12" t="str">
        <f>IFERROR(VLOOKUP($B143,DM_Doanh_nghiep!$A$2:$I$1501,9,FALSE),"")</f>
        <v/>
      </c>
    </row>
    <row r="144" spans="35:35">
      <c r="AI144" s="12" t="str">
        <f>IFERROR(VLOOKUP($B144,DM_Doanh_nghiep!$A$2:$I$1501,9,FALSE),"")</f>
        <v/>
      </c>
    </row>
    <row r="145" spans="35:35">
      <c r="AI145" s="12" t="str">
        <f>IFERROR(VLOOKUP($B145,DM_Doanh_nghiep!$A$2:$I$1501,9,FALSE),"")</f>
        <v/>
      </c>
    </row>
    <row r="146" spans="35:35">
      <c r="AI146" s="12" t="str">
        <f>IFERROR(VLOOKUP($B146,DM_Doanh_nghiep!$A$2:$I$1501,9,FALSE),"")</f>
        <v/>
      </c>
    </row>
    <row r="147" spans="35:35">
      <c r="AI147" s="12" t="str">
        <f>IFERROR(VLOOKUP($B147,DM_Doanh_nghiep!$A$2:$I$1501,9,FALSE),"")</f>
        <v/>
      </c>
    </row>
    <row r="148" spans="35:35">
      <c r="AI148" s="12" t="str">
        <f>IFERROR(VLOOKUP($B148,DM_Doanh_nghiep!$A$2:$I$1501,9,FALSE),"")</f>
        <v/>
      </c>
    </row>
    <row r="149" spans="35:35">
      <c r="AI149" s="12" t="str">
        <f>IFERROR(VLOOKUP($B149,DM_Doanh_nghiep!$A$2:$I$1501,9,FALSE),"")</f>
        <v/>
      </c>
    </row>
    <row r="150" spans="35:35">
      <c r="AI150" s="12" t="str">
        <f>IFERROR(VLOOKUP($B150,DM_Doanh_nghiep!$A$2:$I$1501,9,FALSE),"")</f>
        <v/>
      </c>
    </row>
    <row r="151" spans="35:35">
      <c r="AI151" s="12" t="str">
        <f>IFERROR(VLOOKUP($B151,DM_Doanh_nghiep!$A$2:$I$1501,9,FALSE),"")</f>
        <v/>
      </c>
    </row>
    <row r="152" spans="35:35">
      <c r="AI152" s="12" t="str">
        <f>IFERROR(VLOOKUP($B152,DM_Doanh_nghiep!$A$2:$I$1501,9,FALSE),"")</f>
        <v/>
      </c>
    </row>
    <row r="153" spans="35:35">
      <c r="AI153" s="12" t="str">
        <f>IFERROR(VLOOKUP($B153,DM_Doanh_nghiep!$A$2:$I$1501,9,FALSE),"")</f>
        <v/>
      </c>
    </row>
    <row r="154" spans="35:35">
      <c r="AI154" s="12" t="str">
        <f>IFERROR(VLOOKUP($B154,DM_Doanh_nghiep!$A$2:$I$1501,9,FALSE),"")</f>
        <v/>
      </c>
    </row>
    <row r="155" spans="35:35">
      <c r="AI155" s="12" t="str">
        <f>IFERROR(VLOOKUP($B155,DM_Doanh_nghiep!$A$2:$I$1501,9,FALSE),"")</f>
        <v/>
      </c>
    </row>
    <row r="156" spans="35:35">
      <c r="AI156" s="12" t="str">
        <f>IFERROR(VLOOKUP($B156,DM_Doanh_nghiep!$A$2:$I$1501,9,FALSE),"")</f>
        <v/>
      </c>
    </row>
    <row r="157" spans="35:35">
      <c r="AI157" s="12" t="str">
        <f>IFERROR(VLOOKUP($B157,DM_Doanh_nghiep!$A$2:$I$1501,9,FALSE),"")</f>
        <v/>
      </c>
    </row>
    <row r="158" spans="35:35">
      <c r="AI158" s="12" t="str">
        <f>IFERROR(VLOOKUP($B158,DM_Doanh_nghiep!$A$2:$I$1501,9,FALSE),"")</f>
        <v/>
      </c>
    </row>
    <row r="159" spans="35:35">
      <c r="AI159" s="12" t="str">
        <f>IFERROR(VLOOKUP($B159,DM_Doanh_nghiep!$A$2:$I$1501,9,FALSE),"")</f>
        <v/>
      </c>
    </row>
    <row r="160" spans="35:35">
      <c r="AI160" s="12" t="str">
        <f>IFERROR(VLOOKUP($B160,DM_Doanh_nghiep!$A$2:$I$1501,9,FALSE),"")</f>
        <v/>
      </c>
    </row>
    <row r="161" spans="35:35">
      <c r="AI161" s="12" t="str">
        <f>IFERROR(VLOOKUP($B161,DM_Doanh_nghiep!$A$2:$I$1501,9,FALSE),"")</f>
        <v/>
      </c>
    </row>
    <row r="162" spans="35:35">
      <c r="AI162" s="12" t="str">
        <f>IFERROR(VLOOKUP($B162,DM_Doanh_nghiep!$A$2:$I$1501,9,FALSE),"")</f>
        <v/>
      </c>
    </row>
    <row r="163" spans="35:35">
      <c r="AI163" s="12" t="str">
        <f>IFERROR(VLOOKUP($B163,DM_Doanh_nghiep!$A$2:$I$1501,9,FALSE),"")</f>
        <v/>
      </c>
    </row>
    <row r="164" spans="35:35">
      <c r="AI164" s="12" t="str">
        <f>IFERROR(VLOOKUP($B164,DM_Doanh_nghiep!$A$2:$I$1501,9,FALSE),"")</f>
        <v/>
      </c>
    </row>
    <row r="165" spans="35:35">
      <c r="AI165" s="12" t="str">
        <f>IFERROR(VLOOKUP($B165,DM_Doanh_nghiep!$A$2:$I$1501,9,FALSE),"")</f>
        <v/>
      </c>
    </row>
    <row r="166" spans="35:35">
      <c r="AI166" s="12" t="str">
        <f>IFERROR(VLOOKUP($B166,DM_Doanh_nghiep!$A$2:$I$1501,9,FALSE),"")</f>
        <v/>
      </c>
    </row>
    <row r="167" spans="35:35">
      <c r="AI167" s="12" t="str">
        <f>IFERROR(VLOOKUP($B167,DM_Doanh_nghiep!$A$2:$I$1501,9,FALSE),"")</f>
        <v/>
      </c>
    </row>
    <row r="168" spans="35:35">
      <c r="AI168" s="12" t="str">
        <f>IFERROR(VLOOKUP($B168,DM_Doanh_nghiep!$A$2:$I$1501,9,FALSE),"")</f>
        <v/>
      </c>
    </row>
    <row r="169" spans="35:35">
      <c r="AI169" s="12" t="str">
        <f>IFERROR(VLOOKUP($B169,DM_Doanh_nghiep!$A$2:$I$1501,9,FALSE),"")</f>
        <v/>
      </c>
    </row>
    <row r="170" spans="35:35">
      <c r="AI170" s="12" t="str">
        <f>IFERROR(VLOOKUP($B170,DM_Doanh_nghiep!$A$2:$I$1501,9,FALSE),"")</f>
        <v/>
      </c>
    </row>
    <row r="171" spans="35:35">
      <c r="AI171" s="12" t="str">
        <f>IFERROR(VLOOKUP($B171,DM_Doanh_nghiep!$A$2:$I$1501,9,FALSE),"")</f>
        <v/>
      </c>
    </row>
    <row r="172" spans="35:35">
      <c r="AI172" s="12" t="str">
        <f>IFERROR(VLOOKUP($B172,DM_Doanh_nghiep!$A$2:$I$1501,9,FALSE),"")</f>
        <v/>
      </c>
    </row>
    <row r="173" spans="35:35">
      <c r="AI173" s="12" t="str">
        <f>IFERROR(VLOOKUP($B173,DM_Doanh_nghiep!$A$2:$I$1501,9,FALSE),"")</f>
        <v/>
      </c>
    </row>
    <row r="174" spans="35:35">
      <c r="AI174" s="12" t="str">
        <f>IFERROR(VLOOKUP($B174,DM_Doanh_nghiep!$A$2:$I$1501,9,FALSE),"")</f>
        <v/>
      </c>
    </row>
    <row r="175" spans="35:35">
      <c r="AI175" s="12" t="str">
        <f>IFERROR(VLOOKUP($B175,DM_Doanh_nghiep!$A$2:$I$1501,9,FALSE),"")</f>
        <v/>
      </c>
    </row>
    <row r="176" spans="35:35">
      <c r="AI176" s="12" t="str">
        <f>IFERROR(VLOOKUP($B176,DM_Doanh_nghiep!$A$2:$I$1501,9,FALSE),"")</f>
        <v/>
      </c>
    </row>
    <row r="177" spans="35:35">
      <c r="AI177" s="12" t="str">
        <f>IFERROR(VLOOKUP($B177,DM_Doanh_nghiep!$A$2:$I$1501,9,FALSE),"")</f>
        <v/>
      </c>
    </row>
    <row r="178" spans="35:35">
      <c r="AI178" s="12" t="str">
        <f>IFERROR(VLOOKUP($B178,DM_Doanh_nghiep!$A$2:$I$1501,9,FALSE),"")</f>
        <v/>
      </c>
    </row>
    <row r="179" spans="35:35">
      <c r="AI179" s="12" t="str">
        <f>IFERROR(VLOOKUP($B179,DM_Doanh_nghiep!$A$2:$I$1501,9,FALSE),"")</f>
        <v/>
      </c>
    </row>
    <row r="180" spans="35:35">
      <c r="AI180" s="12" t="str">
        <f>IFERROR(VLOOKUP($B180,DM_Doanh_nghiep!$A$2:$I$1501,9,FALSE),"")</f>
        <v/>
      </c>
    </row>
    <row r="181" spans="35:35">
      <c r="AI181" s="12" t="str">
        <f>IFERROR(VLOOKUP($B181,DM_Doanh_nghiep!$A$2:$I$1501,9,FALSE),"")</f>
        <v/>
      </c>
    </row>
    <row r="182" spans="35:35">
      <c r="AI182" s="12" t="str">
        <f>IFERROR(VLOOKUP($B182,DM_Doanh_nghiep!$A$2:$I$1501,9,FALSE),"")</f>
        <v/>
      </c>
    </row>
    <row r="183" spans="35:35">
      <c r="AI183" s="12" t="str">
        <f>IFERROR(VLOOKUP($B183,DM_Doanh_nghiep!$A$2:$I$1501,9,FALSE),"")</f>
        <v/>
      </c>
    </row>
    <row r="184" spans="35:35">
      <c r="AI184" s="12" t="str">
        <f>IFERROR(VLOOKUP($B184,DM_Doanh_nghiep!$A$2:$I$1501,9,FALSE),"")</f>
        <v/>
      </c>
    </row>
    <row r="185" spans="35:35">
      <c r="AI185" s="12" t="str">
        <f>IFERROR(VLOOKUP($B185,DM_Doanh_nghiep!$A$2:$I$1501,9,FALSE),"")</f>
        <v/>
      </c>
    </row>
    <row r="186" spans="35:35">
      <c r="AI186" s="12" t="str">
        <f>IFERROR(VLOOKUP($B186,DM_Doanh_nghiep!$A$2:$I$1501,9,FALSE),"")</f>
        <v/>
      </c>
    </row>
    <row r="187" spans="35:35">
      <c r="AI187" s="12" t="str">
        <f>IFERROR(VLOOKUP($B187,DM_Doanh_nghiep!$A$2:$I$1501,9,FALSE),"")</f>
        <v/>
      </c>
    </row>
    <row r="188" spans="35:35">
      <c r="AI188" s="12" t="str">
        <f>IFERROR(VLOOKUP($B188,DM_Doanh_nghiep!$A$2:$I$1501,9,FALSE),"")</f>
        <v/>
      </c>
    </row>
    <row r="189" spans="35:35">
      <c r="AI189" s="12" t="str">
        <f>IFERROR(VLOOKUP($B189,DM_Doanh_nghiep!$A$2:$I$1501,9,FALSE),"")</f>
        <v/>
      </c>
    </row>
    <row r="190" spans="35:35">
      <c r="AI190" s="12" t="str">
        <f>IFERROR(VLOOKUP($B190,DM_Doanh_nghiep!$A$2:$I$1501,9,FALSE),"")</f>
        <v/>
      </c>
    </row>
    <row r="191" spans="35:35">
      <c r="AI191" s="12" t="str">
        <f>IFERROR(VLOOKUP($B191,DM_Doanh_nghiep!$A$2:$I$1501,9,FALSE),"")</f>
        <v/>
      </c>
    </row>
    <row r="192" spans="35:35">
      <c r="AI192" s="12" t="str">
        <f>IFERROR(VLOOKUP($B192,DM_Doanh_nghiep!$A$2:$I$1501,9,FALSE),"")</f>
        <v/>
      </c>
    </row>
    <row r="193" spans="35:35">
      <c r="AI193" s="12" t="str">
        <f>IFERROR(VLOOKUP($B193,DM_Doanh_nghiep!$A$2:$I$1501,9,FALSE),"")</f>
        <v/>
      </c>
    </row>
    <row r="194" spans="35:35">
      <c r="AI194" s="12" t="str">
        <f>IFERROR(VLOOKUP($B194,DM_Doanh_nghiep!$A$2:$I$1501,9,FALSE),"")</f>
        <v/>
      </c>
    </row>
    <row r="195" spans="35:35">
      <c r="AI195" s="12" t="str">
        <f>IFERROR(VLOOKUP($B195,DM_Doanh_nghiep!$A$2:$I$1501,9,FALSE),"")</f>
        <v/>
      </c>
    </row>
    <row r="196" spans="35:35">
      <c r="AI196" s="12" t="str">
        <f>IFERROR(VLOOKUP($B196,DM_Doanh_nghiep!$A$2:$I$1501,9,FALSE),"")</f>
        <v/>
      </c>
    </row>
    <row r="197" spans="35:35">
      <c r="AI197" s="12" t="str">
        <f>IFERROR(VLOOKUP($B197,DM_Doanh_nghiep!$A$2:$I$1501,9,FALSE),"")</f>
        <v/>
      </c>
    </row>
    <row r="198" spans="35:35">
      <c r="AI198" s="12" t="str">
        <f>IFERROR(VLOOKUP($B198,DM_Doanh_nghiep!$A$2:$I$1501,9,FALSE),"")</f>
        <v/>
      </c>
    </row>
    <row r="199" spans="35:35">
      <c r="AI199" s="12" t="str">
        <f>IFERROR(VLOOKUP($B199,DM_Doanh_nghiep!$A$2:$I$1501,9,FALSE),"")</f>
        <v/>
      </c>
    </row>
    <row r="200" spans="35:35">
      <c r="AI200" s="12" t="str">
        <f>IFERROR(VLOOKUP($B200,DM_Doanh_nghiep!$A$2:$I$1501,9,FALSE),"")</f>
        <v/>
      </c>
    </row>
    <row r="201" spans="35:35">
      <c r="AI201" s="12" t="str">
        <f>IFERROR(VLOOKUP($B201,DM_Doanh_nghiep!$A$2:$I$1501,9,FALSE),"")</f>
        <v/>
      </c>
    </row>
    <row r="202" spans="35:35">
      <c r="AI202" s="12" t="str">
        <f>IFERROR(VLOOKUP($B202,DM_Doanh_nghiep!$A$2:$I$1501,9,FALSE),"")</f>
        <v/>
      </c>
    </row>
    <row r="203" spans="35:35">
      <c r="AI203" s="12" t="str">
        <f>IFERROR(VLOOKUP($B203,DM_Doanh_nghiep!$A$2:$I$1501,9,FALSE),"")</f>
        <v/>
      </c>
    </row>
    <row r="204" spans="35:35">
      <c r="AI204" s="12" t="str">
        <f>IFERROR(VLOOKUP($B204,DM_Doanh_nghiep!$A$2:$I$1501,9,FALSE),"")</f>
        <v/>
      </c>
    </row>
    <row r="205" spans="35:35">
      <c r="AI205" s="12" t="str">
        <f>IFERROR(VLOOKUP($B205,DM_Doanh_nghiep!$A$2:$I$1501,9,FALSE),"")</f>
        <v/>
      </c>
    </row>
    <row r="206" spans="35:35">
      <c r="AI206" s="12" t="str">
        <f>IFERROR(VLOOKUP($B206,DM_Doanh_nghiep!$A$2:$I$1501,9,FALSE),"")</f>
        <v/>
      </c>
    </row>
    <row r="207" spans="35:35">
      <c r="AI207" s="12" t="str">
        <f>IFERROR(VLOOKUP($B207,DM_Doanh_nghiep!$A$2:$I$1501,9,FALSE),"")</f>
        <v/>
      </c>
    </row>
    <row r="208" spans="35:35">
      <c r="AI208" s="12" t="str">
        <f>IFERROR(VLOOKUP($B208,DM_Doanh_nghiep!$A$2:$I$1501,9,FALSE),"")</f>
        <v/>
      </c>
    </row>
    <row r="209" spans="35:35">
      <c r="AI209" s="12" t="str">
        <f>IFERROR(VLOOKUP($B209,DM_Doanh_nghiep!$A$2:$I$1501,9,FALSE),"")</f>
        <v/>
      </c>
    </row>
    <row r="210" spans="35:35">
      <c r="AI210" s="12" t="str">
        <f>IFERROR(VLOOKUP($B210,DM_Doanh_nghiep!$A$2:$I$1501,9,FALSE),"")</f>
        <v/>
      </c>
    </row>
    <row r="211" spans="35:35">
      <c r="AI211" s="12" t="str">
        <f>IFERROR(VLOOKUP($B211,DM_Doanh_nghiep!$A$2:$I$1501,9,FALSE),"")</f>
        <v/>
      </c>
    </row>
    <row r="212" spans="35:35">
      <c r="AI212" s="12" t="str">
        <f>IFERROR(VLOOKUP($B212,DM_Doanh_nghiep!$A$2:$I$1501,9,FALSE),"")</f>
        <v/>
      </c>
    </row>
    <row r="213" spans="35:35">
      <c r="AI213" s="12" t="str">
        <f>IFERROR(VLOOKUP($B213,DM_Doanh_nghiep!$A$2:$I$1501,9,FALSE),"")</f>
        <v/>
      </c>
    </row>
    <row r="214" spans="35:35">
      <c r="AI214" s="12" t="str">
        <f>IFERROR(VLOOKUP($B214,DM_Doanh_nghiep!$A$2:$I$1501,9,FALSE),"")</f>
        <v/>
      </c>
    </row>
    <row r="215" spans="35:35">
      <c r="AI215" s="12" t="str">
        <f>IFERROR(VLOOKUP($B215,DM_Doanh_nghiep!$A$2:$I$1501,9,FALSE),"")</f>
        <v/>
      </c>
    </row>
    <row r="216" spans="35:35">
      <c r="AI216" s="12" t="str">
        <f>IFERROR(VLOOKUP($B216,DM_Doanh_nghiep!$A$2:$I$1501,9,FALSE),"")</f>
        <v/>
      </c>
    </row>
    <row r="217" spans="35:35">
      <c r="AI217" s="12" t="str">
        <f>IFERROR(VLOOKUP($B217,DM_Doanh_nghiep!$A$2:$I$1501,9,FALSE),"")</f>
        <v/>
      </c>
    </row>
    <row r="218" spans="35:35">
      <c r="AI218" s="12" t="str">
        <f>IFERROR(VLOOKUP($B218,DM_Doanh_nghiep!$A$2:$I$1501,9,FALSE),"")</f>
        <v/>
      </c>
    </row>
    <row r="219" spans="35:35">
      <c r="AI219" s="12" t="str">
        <f>IFERROR(VLOOKUP($B219,DM_Doanh_nghiep!$A$2:$I$1501,9,FALSE),"")</f>
        <v/>
      </c>
    </row>
    <row r="220" spans="35:35">
      <c r="AI220" s="12" t="str">
        <f>IFERROR(VLOOKUP($B220,DM_Doanh_nghiep!$A$2:$I$1501,9,FALSE),"")</f>
        <v/>
      </c>
    </row>
    <row r="221" spans="35:35">
      <c r="AI221" s="12" t="str">
        <f>IFERROR(VLOOKUP($B221,DM_Doanh_nghiep!$A$2:$I$1501,9,FALSE),"")</f>
        <v/>
      </c>
    </row>
    <row r="222" spans="35:35">
      <c r="AI222" s="12" t="str">
        <f>IFERROR(VLOOKUP($B222,DM_Doanh_nghiep!$A$2:$I$1501,9,FALSE),"")</f>
        <v/>
      </c>
    </row>
    <row r="223" spans="35:35">
      <c r="AI223" s="12" t="str">
        <f>IFERROR(VLOOKUP($B223,DM_Doanh_nghiep!$A$2:$I$1501,9,FALSE),"")</f>
        <v/>
      </c>
    </row>
    <row r="224" spans="35:35">
      <c r="AI224" s="12" t="str">
        <f>IFERROR(VLOOKUP($B224,DM_Doanh_nghiep!$A$2:$I$1501,9,FALSE),"")</f>
        <v/>
      </c>
    </row>
    <row r="225" spans="35:35">
      <c r="AI225" s="12" t="str">
        <f>IFERROR(VLOOKUP($B225,DM_Doanh_nghiep!$A$2:$I$1501,9,FALSE),"")</f>
        <v/>
      </c>
    </row>
    <row r="226" spans="35:35">
      <c r="AI226" s="12" t="str">
        <f>IFERROR(VLOOKUP($B226,DM_Doanh_nghiep!$A$2:$I$1501,9,FALSE),"")</f>
        <v/>
      </c>
    </row>
    <row r="227" spans="35:35">
      <c r="AI227" s="12" t="str">
        <f>IFERROR(VLOOKUP($B227,DM_Doanh_nghiep!$A$2:$I$1501,9,FALSE),"")</f>
        <v/>
      </c>
    </row>
    <row r="228" spans="35:35">
      <c r="AI228" s="12" t="str">
        <f>IFERROR(VLOOKUP($B228,DM_Doanh_nghiep!$A$2:$I$1501,9,FALSE),"")</f>
        <v/>
      </c>
    </row>
    <row r="229" spans="35:35">
      <c r="AI229" s="12" t="str">
        <f>IFERROR(VLOOKUP($B229,DM_Doanh_nghiep!$A$2:$I$1501,9,FALSE),"")</f>
        <v/>
      </c>
    </row>
    <row r="230" spans="35:35">
      <c r="AI230" s="12" t="str">
        <f>IFERROR(VLOOKUP($B230,DM_Doanh_nghiep!$A$2:$I$1501,9,FALSE),"")</f>
        <v/>
      </c>
    </row>
    <row r="231" spans="35:35">
      <c r="AI231" s="12" t="str">
        <f>IFERROR(VLOOKUP($B231,DM_Doanh_nghiep!$A$2:$I$1501,9,FALSE),"")</f>
        <v/>
      </c>
    </row>
    <row r="232" spans="35:35">
      <c r="AI232" s="12" t="str">
        <f>IFERROR(VLOOKUP($B232,DM_Doanh_nghiep!$A$2:$I$1501,9,FALSE),"")</f>
        <v/>
      </c>
    </row>
    <row r="233" spans="35:35">
      <c r="AI233" s="12" t="str">
        <f>IFERROR(VLOOKUP($B233,DM_Doanh_nghiep!$A$2:$I$1501,9,FALSE),"")</f>
        <v/>
      </c>
    </row>
    <row r="234" spans="35:35">
      <c r="AI234" s="12" t="str">
        <f>IFERROR(VLOOKUP($B234,DM_Doanh_nghiep!$A$2:$I$1501,9,FALSE),"")</f>
        <v/>
      </c>
    </row>
    <row r="235" spans="35:35">
      <c r="AI235" s="12" t="str">
        <f>IFERROR(VLOOKUP($B235,DM_Doanh_nghiep!$A$2:$I$1501,9,FALSE),"")</f>
        <v/>
      </c>
    </row>
    <row r="236" spans="35:35">
      <c r="AI236" s="12" t="str">
        <f>IFERROR(VLOOKUP($B236,DM_Doanh_nghiep!$A$2:$I$1501,9,FALSE),"")</f>
        <v/>
      </c>
    </row>
    <row r="237" spans="35:35">
      <c r="AI237" s="12" t="str">
        <f>IFERROR(VLOOKUP($B237,DM_Doanh_nghiep!$A$2:$I$1501,9,FALSE),"")</f>
        <v/>
      </c>
    </row>
    <row r="238" spans="35:35">
      <c r="AI238" s="12" t="str">
        <f>IFERROR(VLOOKUP($B238,DM_Doanh_nghiep!$A$2:$I$1501,9,FALSE),"")</f>
        <v/>
      </c>
    </row>
    <row r="239" spans="35:35">
      <c r="AI239" s="12" t="str">
        <f>IFERROR(VLOOKUP($B239,DM_Doanh_nghiep!$A$2:$I$1501,9,FALSE),"")</f>
        <v/>
      </c>
    </row>
    <row r="240" spans="35:35">
      <c r="AI240" s="12" t="str">
        <f>IFERROR(VLOOKUP($B240,DM_Doanh_nghiep!$A$2:$I$1501,9,FALSE),"")</f>
        <v/>
      </c>
    </row>
    <row r="241" spans="35:35">
      <c r="AI241" s="12" t="str">
        <f>IFERROR(VLOOKUP($B241,DM_Doanh_nghiep!$A$2:$I$1501,9,FALSE),"")</f>
        <v/>
      </c>
    </row>
    <row r="242" spans="35:35">
      <c r="AI242" s="12" t="str">
        <f>IFERROR(VLOOKUP($B242,DM_Doanh_nghiep!$A$2:$I$1501,9,FALSE),"")</f>
        <v/>
      </c>
    </row>
    <row r="243" spans="35:35">
      <c r="AI243" s="12" t="str">
        <f>IFERROR(VLOOKUP($B243,DM_Doanh_nghiep!$A$2:$I$1501,9,FALSE),"")</f>
        <v/>
      </c>
    </row>
    <row r="244" spans="35:35">
      <c r="AI244" s="12" t="str">
        <f>IFERROR(VLOOKUP($B244,DM_Doanh_nghiep!$A$2:$I$1501,9,FALSE),"")</f>
        <v/>
      </c>
    </row>
    <row r="245" spans="35:35">
      <c r="AI245" s="12" t="str">
        <f>IFERROR(VLOOKUP($B245,DM_Doanh_nghiep!$A$2:$I$1501,9,FALSE),"")</f>
        <v/>
      </c>
    </row>
    <row r="246" spans="35:35">
      <c r="AI246" s="12" t="str">
        <f>IFERROR(VLOOKUP($B246,DM_Doanh_nghiep!$A$2:$I$1501,9,FALSE),"")</f>
        <v/>
      </c>
    </row>
    <row r="247" spans="35:35">
      <c r="AI247" s="12" t="str">
        <f>IFERROR(VLOOKUP($B247,DM_Doanh_nghiep!$A$2:$I$1501,9,FALSE),"")</f>
        <v/>
      </c>
    </row>
    <row r="248" spans="35:35">
      <c r="AI248" s="12" t="str">
        <f>IFERROR(VLOOKUP($B248,DM_Doanh_nghiep!$A$2:$I$1501,9,FALSE),"")</f>
        <v/>
      </c>
    </row>
    <row r="249" spans="35:35">
      <c r="AI249" s="12" t="str">
        <f>IFERROR(VLOOKUP($B249,DM_Doanh_nghiep!$A$2:$I$1501,9,FALSE),"")</f>
        <v/>
      </c>
    </row>
    <row r="250" spans="35:35">
      <c r="AI250" s="12" t="str">
        <f>IFERROR(VLOOKUP($B250,DM_Doanh_nghiep!$A$2:$I$1501,9,FALSE),"")</f>
        <v/>
      </c>
    </row>
    <row r="251" spans="35:35">
      <c r="AI251" s="12" t="str">
        <f>IFERROR(VLOOKUP($B251,DM_Doanh_nghiep!$A$2:$I$1501,9,FALSE),"")</f>
        <v/>
      </c>
    </row>
    <row r="252" spans="35:35">
      <c r="AI252" s="12" t="str">
        <f>IFERROR(VLOOKUP($B252,DM_Doanh_nghiep!$A$2:$I$1501,9,FALSE),"")</f>
        <v/>
      </c>
    </row>
    <row r="253" spans="35:35">
      <c r="AI253" s="12" t="str">
        <f>IFERROR(VLOOKUP($B253,DM_Doanh_nghiep!$A$2:$I$1501,9,FALSE),"")</f>
        <v/>
      </c>
    </row>
    <row r="254" spans="35:35">
      <c r="AI254" s="12" t="str">
        <f>IFERROR(VLOOKUP($B254,DM_Doanh_nghiep!$A$2:$I$1501,9,FALSE),"")</f>
        <v/>
      </c>
    </row>
    <row r="255" spans="35:35">
      <c r="AI255" s="12" t="str">
        <f>IFERROR(VLOOKUP($B255,DM_Doanh_nghiep!$A$2:$I$1501,9,FALSE),"")</f>
        <v/>
      </c>
    </row>
    <row r="256" spans="35:35">
      <c r="AI256" s="12" t="str">
        <f>IFERROR(VLOOKUP($B256,DM_Doanh_nghiep!$A$2:$I$1501,9,FALSE),"")</f>
        <v/>
      </c>
    </row>
    <row r="257" spans="35:35">
      <c r="AI257" s="12" t="str">
        <f>IFERROR(VLOOKUP($B257,DM_Doanh_nghiep!$A$2:$I$1501,9,FALSE),"")</f>
        <v/>
      </c>
    </row>
    <row r="258" spans="35:35">
      <c r="AI258" s="12" t="str">
        <f>IFERROR(VLOOKUP($B258,DM_Doanh_nghiep!$A$2:$I$1501,9,FALSE),"")</f>
        <v/>
      </c>
    </row>
    <row r="259" spans="35:35">
      <c r="AI259" s="12" t="str">
        <f>IFERROR(VLOOKUP($B259,DM_Doanh_nghiep!$A$2:$I$1501,9,FALSE),"")</f>
        <v/>
      </c>
    </row>
    <row r="260" spans="35:35">
      <c r="AI260" s="12" t="str">
        <f>IFERROR(VLOOKUP($B260,DM_Doanh_nghiep!$A$2:$I$1501,9,FALSE),"")</f>
        <v/>
      </c>
    </row>
    <row r="261" spans="35:35">
      <c r="AI261" s="12" t="str">
        <f>IFERROR(VLOOKUP($B261,DM_Doanh_nghiep!$A$2:$I$1501,9,FALSE),"")</f>
        <v/>
      </c>
    </row>
    <row r="262" spans="35:35">
      <c r="AI262" s="12" t="str">
        <f>IFERROR(VLOOKUP($B262,DM_Doanh_nghiep!$A$2:$I$1501,9,FALSE),"")</f>
        <v/>
      </c>
    </row>
    <row r="263" spans="35:35">
      <c r="AI263" s="12" t="str">
        <f>IFERROR(VLOOKUP($B263,DM_Doanh_nghiep!$A$2:$I$1501,9,FALSE),"")</f>
        <v/>
      </c>
    </row>
    <row r="264" spans="35:35">
      <c r="AI264" s="12" t="str">
        <f>IFERROR(VLOOKUP($B264,DM_Doanh_nghiep!$A$2:$I$1501,9,FALSE),"")</f>
        <v/>
      </c>
    </row>
    <row r="265" spans="35:35">
      <c r="AI265" s="12" t="str">
        <f>IFERROR(VLOOKUP($B265,DM_Doanh_nghiep!$A$2:$I$1501,9,FALSE),"")</f>
        <v/>
      </c>
    </row>
    <row r="266" spans="35:35">
      <c r="AI266" s="12" t="str">
        <f>IFERROR(VLOOKUP($B266,DM_Doanh_nghiep!$A$2:$I$1501,9,FALSE),"")</f>
        <v/>
      </c>
    </row>
    <row r="267" spans="35:35">
      <c r="AI267" s="12" t="str">
        <f>IFERROR(VLOOKUP($B267,DM_Doanh_nghiep!$A$2:$I$1501,9,FALSE),"")</f>
        <v/>
      </c>
    </row>
    <row r="268" spans="35:35">
      <c r="AI268" s="12" t="str">
        <f>IFERROR(VLOOKUP($B268,DM_Doanh_nghiep!$A$2:$I$1501,9,FALSE),"")</f>
        <v/>
      </c>
    </row>
    <row r="269" spans="35:35">
      <c r="AI269" s="12" t="str">
        <f>IFERROR(VLOOKUP($B269,DM_Doanh_nghiep!$A$2:$I$1501,9,FALSE),"")</f>
        <v/>
      </c>
    </row>
    <row r="270" spans="35:35">
      <c r="AI270" s="12" t="str">
        <f>IFERROR(VLOOKUP($B270,DM_Doanh_nghiep!$A$2:$I$1501,9,FALSE),"")</f>
        <v/>
      </c>
    </row>
    <row r="271" spans="35:35">
      <c r="AI271" s="12" t="str">
        <f>IFERROR(VLOOKUP($B271,DM_Doanh_nghiep!$A$2:$I$1501,9,FALSE),"")</f>
        <v/>
      </c>
    </row>
    <row r="272" spans="35:35">
      <c r="AI272" s="12" t="str">
        <f>IFERROR(VLOOKUP($B272,DM_Doanh_nghiep!$A$2:$I$1501,9,FALSE),"")</f>
        <v/>
      </c>
    </row>
    <row r="273" spans="35:35">
      <c r="AI273" s="12" t="str">
        <f>IFERROR(VLOOKUP($B273,DM_Doanh_nghiep!$A$2:$I$1501,9,FALSE),"")</f>
        <v/>
      </c>
    </row>
    <row r="274" spans="35:35">
      <c r="AI274" s="12" t="str">
        <f>IFERROR(VLOOKUP($B274,DM_Doanh_nghiep!$A$2:$I$1501,9,FALSE),"")</f>
        <v/>
      </c>
    </row>
    <row r="275" spans="35:35">
      <c r="AI275" s="12" t="str">
        <f>IFERROR(VLOOKUP($B275,DM_Doanh_nghiep!$A$2:$I$1501,9,FALSE),"")</f>
        <v/>
      </c>
    </row>
    <row r="276" spans="35:35">
      <c r="AI276" s="12" t="str">
        <f>IFERROR(VLOOKUP($B276,DM_Doanh_nghiep!$A$2:$I$1501,9,FALSE),"")</f>
        <v/>
      </c>
    </row>
    <row r="277" spans="35:35">
      <c r="AI277" s="12" t="str">
        <f>IFERROR(VLOOKUP($B277,DM_Doanh_nghiep!$A$2:$I$1501,9,FALSE),"")</f>
        <v/>
      </c>
    </row>
    <row r="278" spans="35:35">
      <c r="AI278" s="12" t="str">
        <f>IFERROR(VLOOKUP($B278,DM_Doanh_nghiep!$A$2:$I$1501,9,FALSE),"")</f>
        <v/>
      </c>
    </row>
    <row r="279" spans="35:35">
      <c r="AI279" s="12" t="str">
        <f>IFERROR(VLOOKUP($B279,DM_Doanh_nghiep!$A$2:$I$1501,9,FALSE),"")</f>
        <v/>
      </c>
    </row>
    <row r="280" spans="35:35">
      <c r="AI280" s="12" t="str">
        <f>IFERROR(VLOOKUP($B280,DM_Doanh_nghiep!$A$2:$I$1501,9,FALSE),"")</f>
        <v/>
      </c>
    </row>
    <row r="281" spans="35:35">
      <c r="AI281" s="12" t="str">
        <f>IFERROR(VLOOKUP($B281,DM_Doanh_nghiep!$A$2:$I$1501,9,FALSE),"")</f>
        <v/>
      </c>
    </row>
    <row r="282" spans="35:35">
      <c r="AI282" s="12" t="str">
        <f>IFERROR(VLOOKUP($B282,DM_Doanh_nghiep!$A$2:$I$1501,9,FALSE),"")</f>
        <v/>
      </c>
    </row>
    <row r="283" spans="35:35">
      <c r="AI283" s="12" t="str">
        <f>IFERROR(VLOOKUP($B283,DM_Doanh_nghiep!$A$2:$I$1501,9,FALSE),"")</f>
        <v/>
      </c>
    </row>
    <row r="284" spans="35:35">
      <c r="AI284" s="12" t="str">
        <f>IFERROR(VLOOKUP($B284,DM_Doanh_nghiep!$A$2:$I$1501,9,FALSE),"")</f>
        <v/>
      </c>
    </row>
    <row r="285" spans="35:35">
      <c r="AI285" s="12" t="str">
        <f>IFERROR(VLOOKUP($B285,DM_Doanh_nghiep!$A$2:$I$1501,9,FALSE),"")</f>
        <v/>
      </c>
    </row>
    <row r="286" spans="35:35">
      <c r="AI286" s="12" t="str">
        <f>IFERROR(VLOOKUP($B286,DM_Doanh_nghiep!$A$2:$I$1501,9,FALSE),"")</f>
        <v/>
      </c>
    </row>
    <row r="287" spans="35:35">
      <c r="AI287" s="12" t="str">
        <f>IFERROR(VLOOKUP($B287,DM_Doanh_nghiep!$A$2:$I$1501,9,FALSE),"")</f>
        <v/>
      </c>
    </row>
    <row r="288" spans="35:35">
      <c r="AI288" s="12" t="str">
        <f>IFERROR(VLOOKUP($B288,DM_Doanh_nghiep!$A$2:$I$1501,9,FALSE),"")</f>
        <v/>
      </c>
    </row>
    <row r="289" spans="35:35">
      <c r="AI289" s="12" t="str">
        <f>IFERROR(VLOOKUP($B289,DM_Doanh_nghiep!$A$2:$I$1501,9,FALSE),"")</f>
        <v/>
      </c>
    </row>
    <row r="290" spans="35:35">
      <c r="AI290" s="12" t="str">
        <f>IFERROR(VLOOKUP($B290,DM_Doanh_nghiep!$A$2:$I$1501,9,FALSE),"")</f>
        <v/>
      </c>
    </row>
    <row r="291" spans="35:35">
      <c r="AI291" s="12" t="str">
        <f>IFERROR(VLOOKUP($B291,DM_Doanh_nghiep!$A$2:$I$1501,9,FALSE),"")</f>
        <v/>
      </c>
    </row>
    <row r="292" spans="35:35">
      <c r="AI292" s="12" t="str">
        <f>IFERROR(VLOOKUP($B292,DM_Doanh_nghiep!$A$2:$I$1501,9,FALSE),"")</f>
        <v/>
      </c>
    </row>
    <row r="293" spans="35:35">
      <c r="AI293" s="12" t="str">
        <f>IFERROR(VLOOKUP($B293,DM_Doanh_nghiep!$A$2:$I$1501,9,FALSE),"")</f>
        <v/>
      </c>
    </row>
    <row r="294" spans="35:35">
      <c r="AI294" s="12" t="str">
        <f>IFERROR(VLOOKUP($B294,DM_Doanh_nghiep!$A$2:$I$1501,9,FALSE),"")</f>
        <v/>
      </c>
    </row>
    <row r="295" spans="35:35">
      <c r="AI295" s="12" t="str">
        <f>IFERROR(VLOOKUP($B295,DM_Doanh_nghiep!$A$2:$I$1501,9,FALSE),"")</f>
        <v/>
      </c>
    </row>
    <row r="296" spans="35:35">
      <c r="AI296" s="12" t="str">
        <f>IFERROR(VLOOKUP($B296,DM_Doanh_nghiep!$A$2:$I$1501,9,FALSE),"")</f>
        <v/>
      </c>
    </row>
    <row r="297" spans="35:35">
      <c r="AI297" s="12" t="str">
        <f>IFERROR(VLOOKUP($B297,DM_Doanh_nghiep!$A$2:$I$1501,9,FALSE),"")</f>
        <v/>
      </c>
    </row>
    <row r="298" spans="35:35">
      <c r="AI298" s="12" t="str">
        <f>IFERROR(VLOOKUP($B298,DM_Doanh_nghiep!$A$2:$I$1501,9,FALSE),"")</f>
        <v/>
      </c>
    </row>
    <row r="299" spans="35:35">
      <c r="AI299" s="12" t="str">
        <f>IFERROR(VLOOKUP($B299,DM_Doanh_nghiep!$A$2:$I$1501,9,FALSE),"")</f>
        <v/>
      </c>
    </row>
    <row r="300" spans="35:35">
      <c r="AI300" s="12" t="str">
        <f>IFERROR(VLOOKUP($B300,DM_Doanh_nghiep!$A$2:$I$1501,9,FALSE),"")</f>
        <v/>
      </c>
    </row>
    <row r="301" spans="35:35">
      <c r="AI301" s="12" t="str">
        <f>IFERROR(VLOOKUP($B301,DM_Doanh_nghiep!$A$2:$I$1501,9,FALSE),"")</f>
        <v/>
      </c>
    </row>
  </sheetData>
  <conditionalFormatting sqref="AH2:AH101">
    <cfRule type="expression" dxfId="3" priority="1">
      <formula>LEFT(AH2,2)="ĐỎ"</formula>
    </cfRule>
    <cfRule type="expression" dxfId="2" priority="2">
      <formula>LEFT(AH2,4)="VÀNG"</formula>
    </cfRule>
    <cfRule type="expression" dxfId="1" priority="3">
      <formula>AH2="BÌNH THƯỜNG"</formula>
    </cfRule>
  </conditionalFormatting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pane ySplit="5" topLeftCell="A6" activePane="bottomLeft" state="frozen"/>
      <selection pane="bottomLeft" activeCell="C20" sqref="C20"/>
    </sheetView>
  </sheetViews>
  <sheetFormatPr defaultRowHeight="14.25"/>
  <cols>
    <col min="1" max="1" width="35.5" customWidth="1"/>
    <col min="2" max="2" width="17" customWidth="1"/>
    <col min="3" max="3" width="13.375" customWidth="1"/>
    <col min="4" max="4" width="9.125" customWidth="1"/>
    <col min="5" max="5" width="10.375" customWidth="1"/>
    <col min="6" max="6" width="8.75" customWidth="1"/>
    <col min="7" max="7" width="8.625" customWidth="1"/>
    <col min="8" max="8" width="10.875" customWidth="1"/>
  </cols>
  <sheetData>
    <row r="1" spans="1:8" ht="18">
      <c r="A1" s="15" t="s">
        <v>64</v>
      </c>
      <c r="B1" s="14"/>
      <c r="C1" s="14"/>
      <c r="D1" s="14"/>
      <c r="E1" s="14"/>
      <c r="F1" s="14"/>
      <c r="G1" s="14"/>
      <c r="H1" s="14"/>
    </row>
    <row r="3" spans="1:8">
      <c r="A3" t="s">
        <v>65</v>
      </c>
    </row>
    <row r="5" spans="1:8" ht="57" customHeight="1">
      <c r="A5" s="26" t="s">
        <v>19</v>
      </c>
      <c r="B5" s="26" t="s">
        <v>66</v>
      </c>
      <c r="C5" s="26" t="s">
        <v>67</v>
      </c>
      <c r="D5" s="26" t="s">
        <v>68</v>
      </c>
      <c r="E5" s="26" t="s">
        <v>69</v>
      </c>
      <c r="F5" s="26" t="s">
        <v>70</v>
      </c>
      <c r="G5" s="26" t="s">
        <v>71</v>
      </c>
      <c r="H5" s="26" t="s">
        <v>72</v>
      </c>
    </row>
    <row r="6" spans="1:8">
      <c r="A6" s="27" t="s">
        <v>73</v>
      </c>
      <c r="B6" s="28" t="str">
        <f>IF($B$3="","",SUMIFS(Bao_cao_thang!$H$2:$H$301,Bao_cao_thang!$AI$2:$AI$301,$A6,Bao_cao_thang!$A$2:$A$301,$B$3))</f>
        <v/>
      </c>
      <c r="C6" s="28" t="str">
        <f>IF($B$3="","",SUMIFS(Bao_cao_thang!$H$2:$H$301,Bao_cao_thang!$AI$2:$AI$301,$A6,Bao_cao_thang!$A$2:$A$301,"&gt;="&amp;DATE(YEAR($B$3),1,1),Bao_cao_thang!$A$2:$A$301,"&lt;="&amp;$B$3))</f>
        <v/>
      </c>
      <c r="D6" s="28" t="str">
        <f>IF($B$3="","",SUMIFS(Bao_cao_thang!$I$2:$I$301,Bao_cao_thang!$AI$2:$AI$301,$A6,Bao_cao_thang!$A$2:$A$301,$B$3))</f>
        <v/>
      </c>
      <c r="E6" s="28" t="str">
        <f>IF($B$3="","",SUMIFS(Bao_cao_thang!$I$2:$I$301,Bao_cao_thang!$AI$2:$AI$301,$A6,Bao_cao_thang!$A$2:$A$301,"&gt;="&amp;DATE(YEAR($B$3),1,1),Bao_cao_thang!$A$2:$A$301,"&lt;="&amp;$B$3))</f>
        <v/>
      </c>
      <c r="F6" s="28" t="str">
        <f>IF($B$3="","",SUMIFS(Bao_cao_thang!$J$2:$J$301,Bao_cao_thang!$AI$2:$AI$301,$A6,Bao_cao_thang!$A$2:$A$301,$B$3))</f>
        <v/>
      </c>
      <c r="G6" s="28" t="str">
        <f>IF($B$3="","",SUMIFS(Bao_cao_thang!$J$2:$J$301,Bao_cao_thang!$AI$2:$AI$301,$A6,Bao_cao_thang!$A$2:$A$301,"&gt;="&amp;DATE(YEAR($B$3),1,1),Bao_cao_thang!$A$2:$A$301,"&lt;="&amp;$B$3))</f>
        <v/>
      </c>
      <c r="H6" s="27" t="str">
        <f>IF($B$3="","",COUNTIFS(Bao_cao_thang!$AI$2:$AI$301,$A6,Bao_cao_thang!$A$2:$A$301,$B$3))</f>
        <v/>
      </c>
    </row>
    <row r="7" spans="1:8">
      <c r="A7" s="27" t="s">
        <v>74</v>
      </c>
      <c r="B7" s="28" t="str">
        <f>IF($B$3="","",SUMIFS(Bao_cao_thang!$H$2:$H$301,Bao_cao_thang!$AI$2:$AI$301,$A7,Bao_cao_thang!$A$2:$A$301,$B$3))</f>
        <v/>
      </c>
      <c r="C7" s="28" t="str">
        <f>IF($B$3="","",SUMIFS(Bao_cao_thang!$H$2:$H$301,Bao_cao_thang!$AI$2:$AI$301,$A7,Bao_cao_thang!$A$2:$A$301,"&gt;="&amp;DATE(YEAR($B$3),1,1),Bao_cao_thang!$A$2:$A$301,"&lt;="&amp;$B$3))</f>
        <v/>
      </c>
      <c r="D7" s="28" t="str">
        <f>IF($B$3="","",SUMIFS(Bao_cao_thang!$I$2:$I$301,Bao_cao_thang!$AI$2:$AI$301,$A7,Bao_cao_thang!$A$2:$A$301,$B$3))</f>
        <v/>
      </c>
      <c r="E7" s="28" t="str">
        <f>IF($B$3="","",SUMIFS(Bao_cao_thang!$I$2:$I$301,Bao_cao_thang!$AI$2:$AI$301,$A7,Bao_cao_thang!$A$2:$A$301,"&gt;="&amp;DATE(YEAR($B$3),1,1),Bao_cao_thang!$A$2:$A$301,"&lt;="&amp;$B$3))</f>
        <v/>
      </c>
      <c r="F7" s="28" t="str">
        <f>IF($B$3="","",SUMIFS(Bao_cao_thang!$J$2:$J$301,Bao_cao_thang!$AI$2:$AI$301,$A7,Bao_cao_thang!$A$2:$A$301,$B$3))</f>
        <v/>
      </c>
      <c r="G7" s="28" t="str">
        <f>IF($B$3="","",SUMIFS(Bao_cao_thang!$J$2:$J$301,Bao_cao_thang!$AI$2:$AI$301,$A7,Bao_cao_thang!$A$2:$A$301,"&gt;="&amp;DATE(YEAR($B$3),1,1),Bao_cao_thang!$A$2:$A$301,"&lt;="&amp;$B$3))</f>
        <v/>
      </c>
      <c r="H7" s="27" t="str">
        <f>IF($B$3="","",COUNTIFS(Bao_cao_thang!$AI$2:$AI$301,$A7,Bao_cao_thang!$A$2:$A$301,$B$3))</f>
        <v/>
      </c>
    </row>
    <row r="8" spans="1:8" ht="28.5">
      <c r="A8" s="21" t="s">
        <v>79</v>
      </c>
      <c r="B8" s="28" t="str">
        <f>IF($B$3="","",SUMIFS(Bao_cao_thang!$H$2:$H$301,Bao_cao_thang!$AI$2:$AI$301,$A8,Bao_cao_thang!$A$2:$A$301,$B$3))</f>
        <v/>
      </c>
      <c r="C8" s="28" t="str">
        <f>IF($B$3="","",SUMIFS(Bao_cao_thang!$H$2:$H$301,Bao_cao_thang!$AI$2:$AI$301,$A8,Bao_cao_thang!$A$2:$A$301,"&gt;="&amp;DATE(YEAR($B$3),1,1),Bao_cao_thang!$A$2:$A$301,"&lt;="&amp;$B$3))</f>
        <v/>
      </c>
      <c r="D8" s="28" t="str">
        <f>IF($B$3="","",SUMIFS(Bao_cao_thang!$I$2:$I$301,Bao_cao_thang!$AI$2:$AI$301,$A8,Bao_cao_thang!$A$2:$A$301,$B$3))</f>
        <v/>
      </c>
      <c r="E8" s="28" t="str">
        <f>IF($B$3="","",SUMIFS(Bao_cao_thang!$I$2:$I$301,Bao_cao_thang!$AI$2:$AI$301,$A8,Bao_cao_thang!$A$2:$A$301,"&gt;="&amp;DATE(YEAR($B$3),1,1),Bao_cao_thang!$A$2:$A$301,"&lt;="&amp;$B$3))</f>
        <v/>
      </c>
      <c r="F8" s="28" t="str">
        <f>IF($B$3="","",SUMIFS(Bao_cao_thang!$J$2:$J$301,Bao_cao_thang!$AI$2:$AI$301,$A8,Bao_cao_thang!$A$2:$A$301,$B$3))</f>
        <v/>
      </c>
      <c r="G8" s="28" t="str">
        <f>IF($B$3="","",SUMIFS(Bao_cao_thang!$J$2:$J$301,Bao_cao_thang!$AI$2:$AI$301,$A8,Bao_cao_thang!$A$2:$A$301,"&gt;="&amp;DATE(YEAR($B$3),1,1),Bao_cao_thang!$A$2:$A$301,"&lt;="&amp;$B$3))</f>
        <v/>
      </c>
      <c r="H8" s="27" t="str">
        <f>IF($B$3="","",COUNTIFS(Bao_cao_thang!$AI$2:$AI$301,$A8,Bao_cao_thang!$A$2:$A$301,$B$3))</f>
        <v/>
      </c>
    </row>
    <row r="9" spans="1:8" ht="15">
      <c r="A9" s="22" t="s">
        <v>75</v>
      </c>
      <c r="B9" s="29" t="str">
        <f>IF($B$3="","",SUMIFS(Bao_cao_thang!$H$2:$H$301,Bao_cao_thang!$A$2:$A$301,$B$3))</f>
        <v/>
      </c>
      <c r="C9" s="29" t="str">
        <f>IF($B$3="","",SUMIFS(Bao_cao_thang!$H$2:$H$301,Bao_cao_thang!$A$2:$A$301,"&gt;="&amp;DATE(YEAR($B$3),1,1),Bao_cao_thang!$A$2:$A$301,"&lt;="&amp;$B$3))</f>
        <v/>
      </c>
      <c r="D9" s="29" t="str">
        <f>IF($B$3="","",SUMIFS(Bao_cao_thang!$I$2:$I$301,Bao_cao_thang!$A$2:$A$301,$B$3))</f>
        <v/>
      </c>
      <c r="E9" s="29" t="str">
        <f>IF($B$3="","",SUMIFS(Bao_cao_thang!$I$2:$I$301,Bao_cao_thang!$A$2:$A$301,"&gt;="&amp;DATE(YEAR($B$3),1,1),Bao_cao_thang!$A$2:$A$301,"&lt;="&amp;$B$3))</f>
        <v/>
      </c>
      <c r="F9" s="29" t="str">
        <f>IF($B$3="","",SUMIFS(Bao_cao_thang!$J$2:$J$301,Bao_cao_thang!$A$2:$A$301,$B$3))</f>
        <v/>
      </c>
      <c r="G9" s="29" t="str">
        <f>IF($B$3="","",SUMIFS(Bao_cao_thang!$J$2:$J$301,Bao_cao_thang!$A$2:$A$301,"&gt;="&amp;DATE(YEAR($B$3),1,1),Bao_cao_thang!$A$2:$A$301,"&lt;="&amp;$B$3))</f>
        <v/>
      </c>
      <c r="H9" s="22" t="str">
        <f>IF($B$3="","",COUNTIFS(Bao_cao_thang!$A$2:$A$301,$B$3))</f>
        <v/>
      </c>
    </row>
  </sheetData>
  <mergeCells count="1">
    <mergeCell ref="A1:H1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DM_Doanh_nghiep</vt:lpstr>
      <vt:lpstr>Bao_cao_thang</vt:lpstr>
      <vt:lpstr>Tong_hop_lanh_dao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Tấn Hải</cp:lastModifiedBy>
  <cp:lastPrinted>2026-09-14T01:19:21Z</cp:lastPrinted>
  <dcterms:created xsi:type="dcterms:W3CDTF">2026-09-12T23:25:08Z</dcterms:created>
  <dcterms:modified xsi:type="dcterms:W3CDTF">2026-09-14T01:25:01Z</dcterms:modified>
</cp:coreProperties>
</file>