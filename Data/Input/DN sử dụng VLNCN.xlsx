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Năm 2026\Cơ sở dữ liệu\"/>
    </mc:Choice>
  </mc:AlternateContent>
  <bookViews>
    <workbookView xWindow="0" yWindow="0" windowWidth="19200" windowHeight="7035"/>
  </bookViews>
  <sheets>
    <sheet name="Số lượng GP" sheetId="2" r:id="rId1"/>
    <sheet name="Sheet1" sheetId="3"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P67" i="3" l="1"/>
  <c r="H62" i="3"/>
  <c r="E67" i="3"/>
  <c r="F67" i="3"/>
  <c r="G67" i="3"/>
  <c r="I67" i="3"/>
  <c r="J67" i="3"/>
  <c r="K67" i="3"/>
  <c r="L67" i="3"/>
  <c r="N67" i="3"/>
  <c r="O67" i="3"/>
  <c r="Q67" i="3"/>
  <c r="R67" i="3"/>
  <c r="D67" i="3"/>
  <c r="M66" i="3"/>
  <c r="H66" i="3"/>
  <c r="M65" i="3"/>
  <c r="H65" i="3"/>
  <c r="M64" i="3"/>
  <c r="H64" i="3"/>
  <c r="M63" i="3"/>
  <c r="H63" i="3"/>
  <c r="M62" i="3"/>
  <c r="M55" i="3"/>
  <c r="H55" i="3"/>
  <c r="M48" i="3"/>
  <c r="H48" i="3"/>
  <c r="M54" i="3"/>
  <c r="M47" i="3"/>
  <c r="H33" i="3"/>
  <c r="H35" i="3"/>
  <c r="H38" i="3"/>
  <c r="H39" i="3"/>
  <c r="M33" i="3"/>
  <c r="M35" i="3"/>
  <c r="M38" i="3"/>
  <c r="M39" i="3"/>
  <c r="H6" i="3"/>
  <c r="H7" i="3"/>
  <c r="H8" i="3"/>
  <c r="H9" i="3"/>
  <c r="H10" i="3"/>
  <c r="H11" i="3"/>
  <c r="H12" i="3"/>
  <c r="H13" i="3"/>
  <c r="H14" i="3"/>
  <c r="H15" i="3"/>
  <c r="H16" i="3"/>
  <c r="H19" i="3"/>
  <c r="H20" i="3"/>
  <c r="H21" i="3"/>
  <c r="H22" i="3"/>
  <c r="H23" i="3"/>
  <c r="H24" i="3"/>
  <c r="H25" i="3"/>
  <c r="H26" i="3"/>
  <c r="H27" i="3"/>
  <c r="H28" i="3"/>
  <c r="H29" i="3"/>
  <c r="H30" i="3"/>
  <c r="H31" i="3"/>
  <c r="H32" i="3"/>
  <c r="H5" i="3"/>
  <c r="M26" i="3"/>
  <c r="M23" i="3"/>
  <c r="M24" i="3"/>
  <c r="M22" i="3"/>
  <c r="M25" i="3"/>
  <c r="M27" i="3"/>
  <c r="M28" i="3"/>
  <c r="M29" i="3"/>
  <c r="M30" i="3"/>
  <c r="M31" i="3"/>
  <c r="M32" i="3"/>
  <c r="M16" i="3"/>
  <c r="M10" i="3"/>
  <c r="M6" i="3"/>
  <c r="M7" i="3"/>
  <c r="M8" i="3"/>
  <c r="M9" i="3"/>
  <c r="M11" i="3"/>
  <c r="M12" i="3"/>
  <c r="M13" i="3"/>
  <c r="M14" i="3"/>
  <c r="M15" i="3"/>
  <c r="M19" i="3"/>
  <c r="M20" i="3"/>
  <c r="M21" i="3"/>
  <c r="M5" i="3"/>
  <c r="M67" i="3" l="1"/>
  <c r="H67" i="3"/>
  <c r="E40" i="3"/>
  <c r="F40" i="3"/>
  <c r="G40" i="3"/>
  <c r="I40" i="3"/>
  <c r="J40" i="3"/>
  <c r="K40" i="3"/>
  <c r="L40" i="3"/>
  <c r="N40" i="3"/>
  <c r="O40" i="3"/>
  <c r="P40" i="3"/>
  <c r="Q40" i="3"/>
  <c r="R40" i="3"/>
  <c r="D40" i="3"/>
  <c r="M40" i="3" l="1"/>
  <c r="H40" i="3"/>
</calcChain>
</file>

<file path=xl/sharedStrings.xml><?xml version="1.0" encoding="utf-8"?>
<sst xmlns="http://schemas.openxmlformats.org/spreadsheetml/2006/main" count="206" uniqueCount="142">
  <si>
    <t>TT</t>
  </si>
  <si>
    <t>Tháng</t>
  </si>
  <si>
    <t>Thuốc nổ (Kg)</t>
  </si>
  <si>
    <t>Kíp nổ (Cái)</t>
  </si>
  <si>
    <t>Nhũ tương dành cho mỏ hầm lò, công trình ngầm không có khí nổ P113</t>
  </si>
  <si>
    <t>Nhũ tương dùng cho lộ thiên</t>
  </si>
  <si>
    <t>Amonit AD1</t>
  </si>
  <si>
    <t>ANFO</t>
  </si>
  <si>
    <t>Tổng</t>
  </si>
  <si>
    <t>Kíp đốt</t>
  </si>
  <si>
    <t>Kíp nổ điện số 8</t>
  </si>
  <si>
    <t>Kíp nổ điện vi sai</t>
  </si>
  <si>
    <t>Kíp vi sai phi điện</t>
  </si>
  <si>
    <t>Dây nổ (m)</t>
  </si>
  <si>
    <t>Dây cháy chậm (m)</t>
  </si>
  <si>
    <t>Dây dẫn nổ các loại (m)</t>
  </si>
  <si>
    <t>Loại hình hoạt động của tổ chức</t>
  </si>
  <si>
    <t>I</t>
  </si>
  <si>
    <t>Thi công công trình:</t>
  </si>
  <si>
    <t>Công ty Cổ phần Xây lắp và Cơ khí Phương Nam</t>
  </si>
  <si>
    <t>Công ty TNHH Tập đoàn Sơn Hải</t>
  </si>
  <si>
    <t>II</t>
  </si>
  <si>
    <t>Khai thác khoáng sản:</t>
  </si>
  <si>
    <t>Công ty CP Tập đoàn Đèo Cả</t>
  </si>
  <si>
    <t>Mồi nổ</t>
  </si>
  <si>
    <t>Tên doanh nghiệp</t>
  </si>
  <si>
    <t>Dây điện mạng (m)</t>
  </si>
  <si>
    <t>Thống kê khối lượng VLNCN sử dụng năm 2025 trên địa bàn tỉnh Khánh Hòa</t>
  </si>
  <si>
    <t>Công ty TNHH Thương mại và Xây dựng tổng hợp Tấn Phát</t>
  </si>
  <si>
    <t>Công ty cổ phần Xây dựng 47</t>
  </si>
  <si>
    <t>Công ty cổ phần Thuận Đức</t>
  </si>
  <si>
    <t>Công ty TNHH Vật liệu xây dựng Tiến Lộc</t>
  </si>
  <si>
    <t>Công ty TNHH Thương mại và Xây dựng Sơn Long Thuận</t>
  </si>
  <si>
    <t>Công ty CP Đầu tư Xây dựng Trí Nam Long</t>
  </si>
  <si>
    <t>Công ty TNHH Anh Hoàng Huy</t>
  </si>
  <si>
    <t>Công ty cổ phần SCI E&amp;C</t>
  </si>
  <si>
    <t>Công ty TNHH Bách Việt</t>
  </si>
  <si>
    <t>Công ty TNHH Khai thác Tân Hưng Thịnh</t>
  </si>
  <si>
    <t>Công ty Cổ phần Xây dựng Đèo Cả</t>
  </si>
  <si>
    <t xml:space="preserve"> Công ty Cổ phần Tập đoàn Xây dựng Đông Dương</t>
  </si>
  <si>
    <t xml:space="preserve"> </t>
  </si>
  <si>
    <t>Công ty CP Đầu tư Xây dựng Thương mại và Dịch vụ Trường Thịnh Phát</t>
  </si>
  <si>
    <t>chưa</t>
  </si>
  <si>
    <t>Duong Ca Na</t>
  </si>
  <si>
    <t>Đuòng Cà Ná</t>
  </si>
  <si>
    <t>zalo</t>
  </si>
  <si>
    <t>trả gp mỏ đất</t>
  </si>
  <si>
    <t>Nguyễn zalo</t>
  </si>
  <si>
    <t>Công ty An Cường Mỏ Tây Nam lạc Tiến</t>
  </si>
  <si>
    <t>Công ty CP Khoáng sản An Hưng</t>
  </si>
  <si>
    <t>Công ty TNHH Sông Trà</t>
  </si>
  <si>
    <t>Mỏ Tân Dân</t>
  </si>
  <si>
    <t>Công ty CP Phú Tài Mỏ Hòn Chuông</t>
  </si>
  <si>
    <t>Mỏ Núi Đất</t>
  </si>
  <si>
    <t>CT CP Việt Hưng Phát  Mỏ Hòn Ngang</t>
  </si>
  <si>
    <t>CT Đá hóa An 1 Mỏ Đông Nam Núi Ông Ngài</t>
  </si>
  <si>
    <t>XN Sông Đà 10.2 CT Sông Đà 10</t>
  </si>
  <si>
    <t>CT CP Giao thông Ninh thuận</t>
  </si>
  <si>
    <t>HCM</t>
  </si>
  <si>
    <t>Gaet</t>
  </si>
  <si>
    <t>theo HCM</t>
  </si>
  <si>
    <t>chưa khớp HCM do có kho</t>
  </si>
  <si>
    <t>Công ty Xây dựng Lũng Lô</t>
  </si>
  <si>
    <t>Theo gaet</t>
  </si>
  <si>
    <t>lệch so với gaet</t>
  </si>
  <si>
    <t>chưa khớp</t>
  </si>
  <si>
    <t>HCM cung ứng</t>
  </si>
  <si>
    <t>HCM dịch vụ</t>
  </si>
  <si>
    <t>Gaet Cung ứng</t>
  </si>
  <si>
    <t>Gaet dịch vụ</t>
  </si>
  <si>
    <t>no dvu</t>
  </si>
  <si>
    <t>tự nổ</t>
  </si>
  <si>
    <t>Mỏ granite Hòn Chuông, xã Diên Thọ, tỉnh Khánh Hòa
Mỏ đá Tân Dân, xã vạn Thắng, tỉnh Khánh Hòa</t>
  </si>
  <si>
    <t>Địa điểm sử dụng VLNCN</t>
  </si>
  <si>
    <t>Thời hạn giấy phép</t>
  </si>
  <si>
    <t>Số giấy phép</t>
  </si>
  <si>
    <t>Thủy điện tích năng Bác Ái</t>
  </si>
  <si>
    <t>10/9/2027</t>
  </si>
  <si>
    <t>Tại Km 12+100 đến Km
12+900 thuộc gói thầu số 08 (EC): Khảo sát, lập thiết kế - dự toán và thi công xây
dựng công trình Dự án thành phần xây lắp thuộc dự án đường giao thông từ Quốc
lộ 27C đến đường tỉnh ĐT.656 tỉnh khánh Hòa – Kết nối với tỉnh Lâm Đồng và
tỉnh Ninh Thuận</t>
  </si>
  <si>
    <t>126/GP-SCT ngày 20/3/2026</t>
  </si>
  <si>
    <t>Một phần hầm xả đoạn 2 và toàn bộ đoạn 3; thi công một phần ngách
thi công (ngách thi công số 4) theo Hợp đồng số 03.25.HĐ.BAP.XD.NM Gói thầu
số 02XL-BA</t>
  </si>
  <si>
    <t>20/3/2028</t>
  </si>
  <si>
    <t>146/GP-SCT ngày 03/4/2026</t>
  </si>
  <si>
    <t>02/4/2031</t>
  </si>
  <si>
    <t>191/GP-SCT ngày 29/4/2026</t>
  </si>
  <si>
    <t>Mỏ đá Hố Hành 2, phường Ba Ngòi, tỉnh Khánh Hòa</t>
  </si>
  <si>
    <t>29/4/2031</t>
  </si>
  <si>
    <t>thi công công công trình
từ Km38+176,31 đến Km41+500, dự án thành phần 2: Đường từ xã Ma Nới, huyện
Ninh Sơn, tỉnh Ninh Thuận (cũ) đến ngã tư Tà Năng, huyện Đức Trọng, tỉnh Lâm
Đồng (cũ), nay thuộc xã Anh Dũng, tỉnh Khánh Hòa</t>
  </si>
  <si>
    <t>30/6/2026</t>
  </si>
  <si>
    <t>194/GP-SCT ngày 07/5/2026</t>
  </si>
  <si>
    <t>Từ Km16+723 đến Km21+236
thuộc Dự án thành phần 2: Đường nối từ cao tốc Bắc Nam với Quốc lộ 1 và Cảng
biển tổng hợp Cà Ná, xã Cà Ná, tỉnh Khánh Hòa</t>
  </si>
  <si>
    <t>200/GP-SCT ngày 12/5/2026</t>
  </si>
  <si>
    <t>30/3/2028</t>
  </si>
  <si>
    <t>205/GP-SCT ngày 15/5/2026</t>
  </si>
  <si>
    <t>Từ Km10+140 đến Km16+723;
dự án thành phần 2: Đoạn từ Quốc lộ 1 đến Cảng biển tổng hợp Cà Ná, thuộc Dự án
Đường nối từ cao tốc Bắc Nam với Quốc lộ 1 và Cảng biển tổng hợp Cà Ná, xã Cà
Ná, tỉnh Khánh Hòa</t>
  </si>
  <si>
    <t>31/12/2026</t>
  </si>
  <si>
    <t>gói thầu: Nạo vét đáy biển, đá, cát dưới nước và san hô cứng thuộc Dự án Khu bến cảng Cà Ná giai đoạn 1 – Cảng biển tổng hợp Cà Ná, xã Cà Ná, tỉnh Khánh Hòa</t>
  </si>
  <si>
    <t>gói thầu Thi công san lấp mặt bằng thuộc Dự án Đầu tư xây dựng và kinh doanh kết cấu hạ tầng Khu công nghiệp Cà
Ná – Giai đoạn I, xã Cà Ná, tỉnh Khánh Hòa</t>
  </si>
  <si>
    <t>20/GP-SCT ngày 14/01/2026
230/GP-SCT ngày 28/5/2026</t>
  </si>
  <si>
    <t>217/GP-SCT ngày 23/5/2026
272/GP-SCT ngày 03/6/2026</t>
  </si>
  <si>
    <t>273/GP-SCT ngày 104/6/2026</t>
  </si>
  <si>
    <t>thi công các hạng mục
công trình thuộc Gói thầu số 02XL-BA</t>
  </si>
  <si>
    <t>04/6/2028</t>
  </si>
  <si>
    <t>Công ty TNHH xây dựng công trình An Cường</t>
  </si>
  <si>
    <t>337/GP-SCT ngày 04/8/2026</t>
  </si>
  <si>
    <t>mỏ đá Núi Đất, xã Thuận Nam, tỉnh Khánh Hòa</t>
  </si>
  <si>
    <t>206/GP-SCT ngày 19/5/2026, 
342/GP-SCT ngày 07/8/2026</t>
  </si>
  <si>
    <t>349/GP-SCT ngày 12/8/2026</t>
  </si>
  <si>
    <t>Tại đoạn từ Km27+920 đến
Km31+500 thuộc Gói thầu 13: Gói thầu xây lắp số 02: Thi công xây dựng đoạn
Km22+000 – Km32+000 (bao gồm khảo sát, thiết kế bản vẽ thi công) Dự án thành
phần 1 thuộc Dự án đầu tư xây dựng đường bộ cao tốc Khánh Hòa - Buôn Ma
Thuột (giai đoạn 1).</t>
  </si>
  <si>
    <t>30/9/2026</t>
  </si>
  <si>
    <t>Công ty CP Kỹ thuật cầu đường An Phong</t>
  </si>
  <si>
    <t>20/GP-SCT ngày 12/9/2023</t>
  </si>
  <si>
    <t>Mỏ đá Tây Hòn Ngang, xã Diên Lâm, huyện Diên Khánh</t>
  </si>
  <si>
    <t xml:space="preserve"> Mỏ đất, đá Ninh Thân - Ninh Thượng thuộc xã Ninh Thân và xã Ninh Thượng, thị xã Ninh Hòa, tỉnh Khánh Hòa</t>
  </si>
  <si>
    <t>10/GP-SCT ngày 25/6/2025</t>
  </si>
  <si>
    <t>hạng mục thi công hầm Phượng Hoàng thuộc gói thầu XL01: Thi công đào hầm đoạn từ Km 32+600 đến Km 33+300, Dự án thành phần 2: Dự án đầu tư xây dựng đường bộ cao tốc Khánh Hòa - Buôn Ma Thuột giai đoạn 1</t>
  </si>
  <si>
    <t>30/11/2026</t>
  </si>
  <si>
    <t xml:space="preserve">05/GP-SCT ngày 07/5/2025 </t>
  </si>
  <si>
    <t>31/12/2025</t>
  </si>
  <si>
    <t>Công ty CP Vật tư thiết bị và Xây dựng giao thông Khánh Hòa</t>
  </si>
  <si>
    <t>01/GP-SCT ngày 25/02/2025</t>
  </si>
  <si>
    <t>27/12/2025</t>
  </si>
  <si>
    <t>Tại mỏ đá Núi Sầm, phường Ninh Giang, thị xã Ninh Hòa, tỉnh Khánh Hòa</t>
  </si>
  <si>
    <t>136/GP-SCT ngày 28/10/2025</t>
  </si>
  <si>
    <t>thi công công trình tại Lô CN14, 1 phần Lô CN12, Lô CN10, 1 phần lô CN5, Đường số 10 thuộc Dự án Đầu tư Xây dựng và kinh doanh cơ sở hạ tầng Khu công nghiệp Ninh Thủy, phường Đông Ninh Hòa, tỉnh Khánh Hòa</t>
  </si>
  <si>
    <t>28/9/2026</t>
  </si>
  <si>
    <t>Công ty TNHH Xây lắp số 1</t>
  </si>
  <si>
    <t>86/GP-SCT ngày 07/10/2025</t>
  </si>
  <si>
    <t>mỏ đá Núi Tiêng 2, xã Mỹ Sơn, tỉnh Khánh Hòa</t>
  </si>
  <si>
    <t>61/GP-SCT ngày 30/9/2025</t>
  </si>
  <si>
    <t>05/6/2026</t>
  </si>
  <si>
    <t>02/GP-SCT ngày 04/3/2024</t>
  </si>
  <si>
    <t xml:space="preserve">Đoạn công trình từ Km22+00 đến Km27+720 của Gói thầu số 13: Gói thầu xây lắp số 02: Thi công xây dựng đoạn Km22+00 đến Km32+00 Dự án thành phần 1 thuộc Dự án đầu tư xây dựng đường bộ cao tốc Khánh Hòa - Buôn Ma Thuột (giai đoạn 1). Tọa độ vị trí, lý trình khu vực nổ mìn theo thiết kế bản vẽ thi công đã được duyệt. </t>
  </si>
  <si>
    <t>03/3/2026</t>
  </si>
  <si>
    <t xml:space="preserve">Công ty CP Phú Tài </t>
  </si>
  <si>
    <t>31/12/2029</t>
  </si>
  <si>
    <t>Mỏ đá granite Tân Dân, xã Tu Bông, tỉnh Khánh Hòa</t>
  </si>
  <si>
    <t>khu vực Tân Dân 2, xã Tu Bông, tỉnh Khánh Hòa</t>
  </si>
  <si>
    <t>61/GP-SCT ngày 12/5/2025</t>
  </si>
  <si>
    <t>29/6/2029</t>
  </si>
  <si>
    <t>Chi nhánh Vật liệu nổ miền Nam - Tổng Công ty Kinh tế Kỹ thuật công nghiệp Quốc phòng</t>
  </si>
  <si>
    <t>Công ty Công nghiệp Hóa chất mỏ Nam Trung Bộ,</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</si>
</sst>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13" x14ac:knownFonts="1">
    <font>
      <sz val="11"/>
      <color theme="1"/>
      <name val="Calibri"/>
      <family val="2"/>
      <scheme val="minor"/>
    </font>
    <font>
      <sz val="11"/>
      <color rgb="FFFF0000"/>
      <name val="Calibri"/>
      <family val="2"/>
      <scheme val="minor"/>
    </font>
    <font>
      <b/>
      <sz val="14"/>
      <name val="Times New Roman"/>
      <family val="1"/>
    </font>
    <font>
      <sz val="14"/>
      <name val="Times New Roman"/>
      <family val="1"/>
    </font>
    <font>
      <b/>
      <sz val="12"/>
      <color theme="1"/>
      <name val="Times New Roman"/>
      <family val="1"/>
    </font>
    <font>
      <sz val="12"/>
      <color theme="1"/>
      <name val="Times New Roman"/>
      <family val="1"/>
    </font>
    <font>
      <b/>
      <sz val="18"/>
      <color theme="1"/>
      <name val="Times New Roman"/>
      <family val="1"/>
    </font>
    <font>
      <sz val="12"/>
      <color rgb="FFFF0000"/>
      <name val="Times New Roman"/>
      <family val="1"/>
    </font>
    <font>
      <sz val="14"/>
      <color rgb="FFFF0000"/>
      <name val="Times New Roman"/>
      <family val="1"/>
    </font>
    <font>
      <sz val="12"/>
      <name val="Times New Roman"/>
      <family val="1"/>
    </font>
    <font>
      <sz val="14"/>
      <color theme="1"/>
      <name val="Times New Roman"/>
      <family val="1"/>
    </font>
    <font>
      <sz val="14"/>
      <color theme="1" tint="0.14999847407452621"/>
      <name val="Times New Roman"/>
      <family val="1"/>
    </font>
    <font>
      <sz val="11"/>
      <color rgb="FF081B3A"/>
      <name val="Segoe UI"/>
      <family val="2"/>
    </font>
  </fonts>
  <fills count="4">
    <fill>
      <patternFill patternType="none"/>
    </fill>
    <fill>
      <patternFill patternType="gray125"/>
    </fill>
    <fill>
      <patternFill patternType="solid">
        <fgColor theme="5" tint="0.59999389629810485"/>
        <bgColor indexed="64"/>
      </patternFill>
    </fill>
    <fill>
      <patternFill patternType="solid">
        <fgColor theme="0"/>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s>
  <cellStyleXfs count="1">
    <xf numFmtId="0" fontId="0" fillId="0" borderId="0"/>
  </cellStyleXfs>
  <cellXfs count="78">
    <xf numFmtId="0" fontId="0" fillId="0" borderId="0" xfId="0"/>
    <xf numFmtId="0" fontId="1" fillId="0" borderId="0" xfId="0" applyFont="1"/>
    <xf numFmtId="0" fontId="3" fillId="0" borderId="1" xfId="0" applyFont="1" applyBorder="1" applyAlignment="1">
      <alignment horizontal="center" vertical="center" wrapText="1"/>
    </xf>
    <xf numFmtId="0" fontId="3" fillId="0" borderId="1" xfId="0" applyFont="1" applyBorder="1" applyAlignment="1">
      <alignment horizontal="justify" vertical="center" wrapText="1"/>
    </xf>
    <xf numFmtId="0" fontId="2" fillId="0" borderId="1" xfId="0" applyFont="1" applyBorder="1" applyAlignment="1">
      <alignment horizontal="center" vertical="center" wrapText="1"/>
    </xf>
    <xf numFmtId="0" fontId="2" fillId="0" borderId="1" xfId="0" applyFont="1" applyBorder="1" applyAlignment="1">
      <alignment horizontal="justify" vertical="center" wrapText="1"/>
    </xf>
    <xf numFmtId="0" fontId="4" fillId="0" borderId="1" xfId="0" applyFont="1" applyBorder="1" applyAlignment="1">
      <alignment horizontal="center" vertical="center" wrapText="1"/>
    </xf>
    <xf numFmtId="0" fontId="5" fillId="0" borderId="1" xfId="0" applyFont="1" applyBorder="1" applyAlignment="1">
      <alignment horizontal="center" vertical="center" wrapText="1"/>
    </xf>
    <xf numFmtId="0" fontId="5" fillId="0" borderId="0" xfId="0" applyFont="1"/>
    <xf numFmtId="0" fontId="5" fillId="0" borderId="1" xfId="0" applyFont="1" applyBorder="1" applyAlignment="1">
      <alignment wrapText="1"/>
    </xf>
    <xf numFmtId="0" fontId="4" fillId="0" borderId="1" xfId="0" applyFont="1" applyBorder="1" applyAlignment="1">
      <alignment horizontal="center" vertical="center" wrapText="1"/>
    </xf>
    <xf numFmtId="164" fontId="5" fillId="0" borderId="1" xfId="0" applyNumberFormat="1" applyFont="1" applyBorder="1" applyAlignment="1">
      <alignment horizontal="center" vertical="center" wrapText="1"/>
    </xf>
    <xf numFmtId="164" fontId="4" fillId="0" borderId="1" xfId="0" applyNumberFormat="1" applyFont="1" applyBorder="1" applyAlignment="1">
      <alignment horizontal="center" vertical="center" wrapText="1"/>
    </xf>
    <xf numFmtId="4" fontId="5" fillId="0" borderId="1" xfId="0" applyNumberFormat="1" applyFont="1" applyBorder="1" applyAlignment="1">
      <alignment horizontal="center" vertical="center" wrapText="1"/>
    </xf>
    <xf numFmtId="4" fontId="5" fillId="0" borderId="2" xfId="0" applyNumberFormat="1" applyFont="1" applyBorder="1" applyAlignment="1">
      <alignment horizontal="center" vertical="center" wrapText="1"/>
    </xf>
    <xf numFmtId="4" fontId="5" fillId="0" borderId="1" xfId="0" applyNumberFormat="1" applyFont="1" applyBorder="1" applyAlignment="1">
      <alignment horizontal="center" vertical="center"/>
    </xf>
    <xf numFmtId="4" fontId="5" fillId="0" borderId="6" xfId="0" applyNumberFormat="1" applyFont="1" applyBorder="1" applyAlignment="1">
      <alignment horizontal="center" vertical="center" wrapText="1"/>
    </xf>
    <xf numFmtId="4" fontId="5" fillId="0" borderId="4" xfId="0" applyNumberFormat="1" applyFont="1" applyBorder="1" applyAlignment="1">
      <alignment horizontal="center" vertical="center" wrapText="1"/>
    </xf>
    <xf numFmtId="4" fontId="5" fillId="0" borderId="1" xfId="0" applyNumberFormat="1" applyFont="1" applyBorder="1" applyAlignment="1">
      <alignment horizontal="center"/>
    </xf>
    <xf numFmtId="4" fontId="5" fillId="0" borderId="1" xfId="0" applyNumberFormat="1" applyFont="1" applyBorder="1"/>
    <xf numFmtId="0" fontId="4" fillId="2" borderId="1" xfId="0" applyFont="1" applyFill="1" applyBorder="1" applyAlignment="1">
      <alignment horizontal="center" vertical="center" wrapText="1"/>
    </xf>
    <xf numFmtId="4" fontId="5" fillId="2" borderId="1" xfId="0" applyNumberFormat="1" applyFont="1" applyFill="1" applyBorder="1" applyAlignment="1">
      <alignment horizontal="center" vertical="center" wrapText="1"/>
    </xf>
    <xf numFmtId="0" fontId="6" fillId="0" borderId="0" xfId="0" applyFont="1"/>
    <xf numFmtId="0" fontId="2" fillId="0" borderId="1" xfId="0" applyFont="1" applyBorder="1" applyAlignment="1">
      <alignment horizontal="center" vertical="center" wrapText="1"/>
    </xf>
    <xf numFmtId="0" fontId="3" fillId="0" borderId="1" xfId="0" applyFont="1" applyBorder="1" applyAlignment="1">
      <alignment horizontal="right" vertical="center" wrapText="1"/>
    </xf>
    <xf numFmtId="4" fontId="5" fillId="3" borderId="1" xfId="0" applyNumberFormat="1" applyFont="1" applyFill="1" applyBorder="1" applyAlignment="1">
      <alignment horizontal="center" vertical="center" wrapText="1"/>
    </xf>
    <xf numFmtId="0" fontId="4" fillId="0" borderId="1" xfId="0" applyFont="1" applyBorder="1"/>
    <xf numFmtId="4" fontId="4" fillId="0" borderId="1" xfId="0" applyNumberFormat="1" applyFont="1" applyBorder="1" applyAlignment="1">
      <alignment horizontal="center"/>
    </xf>
    <xf numFmtId="4" fontId="4" fillId="2" borderId="1" xfId="0" applyNumberFormat="1" applyFont="1" applyFill="1" applyBorder="1" applyAlignment="1">
      <alignment horizontal="center"/>
    </xf>
    <xf numFmtId="0" fontId="4" fillId="0" borderId="0" xfId="0" applyFont="1"/>
    <xf numFmtId="0" fontId="7" fillId="0" borderId="1" xfId="0" applyFont="1" applyBorder="1" applyAlignment="1">
      <alignment horizontal="center" vertical="center" wrapText="1"/>
    </xf>
    <xf numFmtId="0" fontId="8" fillId="0" borderId="1" xfId="0" applyFont="1" applyBorder="1" applyAlignment="1">
      <alignment horizontal="justify" vertical="center" wrapText="1"/>
    </xf>
    <xf numFmtId="164" fontId="7" fillId="0" borderId="1" xfId="0" applyNumberFormat="1" applyFont="1" applyBorder="1" applyAlignment="1">
      <alignment horizontal="center" vertical="center" wrapText="1"/>
    </xf>
    <xf numFmtId="4" fontId="7" fillId="0" borderId="1" xfId="0" applyNumberFormat="1" applyFont="1" applyBorder="1" applyAlignment="1">
      <alignment horizontal="center" vertical="center" wrapText="1"/>
    </xf>
    <xf numFmtId="4" fontId="7" fillId="0" borderId="1" xfId="0" applyNumberFormat="1" applyFont="1" applyBorder="1" applyAlignment="1">
      <alignment horizontal="center"/>
    </xf>
    <xf numFmtId="4" fontId="7" fillId="2" borderId="1" xfId="0" applyNumberFormat="1" applyFont="1" applyFill="1" applyBorder="1" applyAlignment="1">
      <alignment horizontal="center" vertical="center" wrapText="1"/>
    </xf>
    <xf numFmtId="4" fontId="7" fillId="0" borderId="1" xfId="0" applyNumberFormat="1" applyFont="1" applyBorder="1"/>
    <xf numFmtId="4" fontId="7" fillId="0" borderId="1" xfId="0" applyNumberFormat="1" applyFont="1" applyBorder="1" applyAlignment="1">
      <alignment horizontal="center" vertical="center"/>
    </xf>
    <xf numFmtId="0" fontId="7" fillId="0" borderId="0" xfId="0" applyFont="1"/>
    <xf numFmtId="0" fontId="9" fillId="0" borderId="1" xfId="0" applyFont="1" applyBorder="1" applyAlignment="1">
      <alignment horizontal="center" vertical="center" wrapText="1"/>
    </xf>
    <xf numFmtId="164" fontId="9" fillId="0" borderId="1" xfId="0" applyNumberFormat="1" applyFont="1" applyBorder="1" applyAlignment="1">
      <alignment horizontal="center" vertical="center" wrapText="1"/>
    </xf>
    <xf numFmtId="4" fontId="9" fillId="0" borderId="1" xfId="0" applyNumberFormat="1" applyFont="1" applyBorder="1" applyAlignment="1">
      <alignment horizontal="center" vertical="center" wrapText="1"/>
    </xf>
    <xf numFmtId="4" fontId="9" fillId="0" borderId="1" xfId="0" applyNumberFormat="1" applyFont="1" applyBorder="1" applyAlignment="1">
      <alignment horizontal="center"/>
    </xf>
    <xf numFmtId="4" fontId="9" fillId="2" borderId="1" xfId="0" applyNumberFormat="1" applyFont="1" applyFill="1" applyBorder="1" applyAlignment="1">
      <alignment horizontal="center" vertical="center" wrapText="1"/>
    </xf>
    <xf numFmtId="4" fontId="9" fillId="0" borderId="1" xfId="0" applyNumberFormat="1" applyFont="1" applyBorder="1"/>
    <xf numFmtId="4" fontId="9" fillId="0" borderId="1" xfId="0" applyNumberFormat="1" applyFont="1" applyBorder="1" applyAlignment="1">
      <alignment horizontal="center" vertical="center"/>
    </xf>
    <xf numFmtId="0" fontId="9" fillId="0" borderId="0" xfId="0" applyFont="1"/>
    <xf numFmtId="4" fontId="7" fillId="0" borderId="6" xfId="0" applyNumberFormat="1" applyFont="1" applyBorder="1" applyAlignment="1">
      <alignment horizontal="center" vertical="center" wrapText="1"/>
    </xf>
    <xf numFmtId="4" fontId="7" fillId="0" borderId="2" xfId="0" applyNumberFormat="1" applyFont="1" applyBorder="1" applyAlignment="1">
      <alignment horizontal="center" vertical="center" wrapText="1"/>
    </xf>
    <xf numFmtId="0" fontId="4" fillId="0" borderId="1" xfId="0" applyFont="1" applyBorder="1" applyAlignment="1">
      <alignment wrapText="1"/>
    </xf>
    <xf numFmtId="4" fontId="4" fillId="0" borderId="1" xfId="0" applyNumberFormat="1" applyFont="1" applyBorder="1" applyAlignment="1">
      <alignment horizontal="center" vertical="center" wrapText="1"/>
    </xf>
    <xf numFmtId="4" fontId="4" fillId="2" borderId="1" xfId="0" applyNumberFormat="1" applyFont="1" applyFill="1" applyBorder="1" applyAlignment="1">
      <alignment horizontal="center" vertical="center" wrapText="1"/>
    </xf>
    <xf numFmtId="4" fontId="4" fillId="0" borderId="2" xfId="0" applyNumberFormat="1" applyFont="1" applyBorder="1" applyAlignment="1">
      <alignment horizontal="center" vertical="center" wrapText="1"/>
    </xf>
    <xf numFmtId="4" fontId="4" fillId="0" borderId="1" xfId="0" applyNumberFormat="1" applyFont="1" applyBorder="1" applyAlignment="1">
      <alignment horizontal="center" vertical="center"/>
    </xf>
    <xf numFmtId="0" fontId="4" fillId="0" borderId="1" xfId="0" applyFont="1" applyBorder="1" applyAlignment="1">
      <alignment horizontal="center"/>
    </xf>
    <xf numFmtId="0" fontId="3" fillId="0" borderId="1" xfId="0" applyFont="1" applyBorder="1" applyAlignment="1">
      <alignment horizontal="left" vertical="center" wrapText="1"/>
    </xf>
    <xf numFmtId="49" fontId="3" fillId="0" borderId="1" xfId="0" applyNumberFormat="1" applyFont="1" applyBorder="1" applyAlignment="1">
      <alignment horizontal="center" vertical="center" wrapText="1"/>
    </xf>
    <xf numFmtId="0" fontId="2" fillId="0" borderId="1" xfId="0" applyFont="1" applyBorder="1" applyAlignment="1">
      <alignment horizontal="left" vertical="center" wrapText="1"/>
    </xf>
    <xf numFmtId="0" fontId="10" fillId="0" borderId="1" xfId="0" applyFont="1" applyBorder="1" applyAlignment="1">
      <alignment horizontal="left"/>
    </xf>
    <xf numFmtId="0" fontId="10" fillId="0" borderId="1" xfId="0" applyFont="1" applyBorder="1" applyAlignment="1">
      <alignment horizontal="center"/>
    </xf>
    <xf numFmtId="14" fontId="10" fillId="0" borderId="1" xfId="0" applyNumberFormat="1" applyFont="1" applyBorder="1" applyAlignment="1">
      <alignment horizontal="center"/>
    </xf>
    <xf numFmtId="0" fontId="3" fillId="3" borderId="1" xfId="0" applyFont="1" applyFill="1" applyBorder="1" applyAlignment="1">
      <alignment horizontal="left" vertical="center" wrapText="1"/>
    </xf>
    <xf numFmtId="3" fontId="3" fillId="3" borderId="1" xfId="0" applyNumberFormat="1" applyFont="1" applyFill="1" applyBorder="1" applyAlignment="1">
      <alignment horizontal="center" vertical="center" wrapText="1"/>
    </xf>
    <xf numFmtId="0" fontId="3" fillId="0" borderId="0" xfId="0" applyFont="1" applyBorder="1" applyAlignment="1">
      <alignment horizontal="center" vertical="center" wrapText="1"/>
    </xf>
    <xf numFmtId="0" fontId="11" fillId="0" borderId="0" xfId="0" applyFont="1" applyAlignment="1">
      <alignment horizontal="center" vertical="center"/>
    </xf>
    <xf numFmtId="0" fontId="10" fillId="0" borderId="1" xfId="0" applyFont="1" applyBorder="1" applyAlignment="1">
      <alignment horizontal="center" vertical="center" wrapText="1"/>
    </xf>
    <xf numFmtId="0" fontId="10" fillId="0" borderId="1" xfId="0" applyFont="1" applyBorder="1" applyAlignment="1">
      <alignment horizontal="center" vertical="center"/>
    </xf>
    <xf numFmtId="0" fontId="10" fillId="0" borderId="1" xfId="0" applyFont="1" applyBorder="1" applyAlignment="1">
      <alignment horizontal="left" vertical="center" wrapText="1"/>
    </xf>
    <xf numFmtId="0" fontId="2" fillId="0" borderId="1" xfId="0" applyFont="1" applyBorder="1" applyAlignment="1">
      <alignment horizontal="center" vertical="center" wrapText="1"/>
    </xf>
    <xf numFmtId="0" fontId="2" fillId="0" borderId="5" xfId="0" applyFont="1" applyBorder="1" applyAlignment="1">
      <alignment horizontal="center" vertical="center" wrapText="1"/>
    </xf>
    <xf numFmtId="0" fontId="2" fillId="0" borderId="3" xfId="0" applyFont="1" applyBorder="1" applyAlignment="1">
      <alignment horizontal="center" vertical="center" wrapText="1"/>
    </xf>
    <xf numFmtId="0" fontId="4" fillId="0" borderId="1" xfId="0" applyFont="1" applyBorder="1" applyAlignment="1">
      <alignment horizontal="center" vertical="center" wrapText="1"/>
    </xf>
    <xf numFmtId="0" fontId="4" fillId="0" borderId="5" xfId="0" applyFont="1" applyBorder="1" applyAlignment="1">
      <alignment horizontal="center" vertical="center"/>
    </xf>
    <xf numFmtId="0" fontId="4" fillId="0" borderId="3" xfId="0" applyFont="1" applyBorder="1" applyAlignment="1">
      <alignment horizontal="center" vertical="center"/>
    </xf>
    <xf numFmtId="0" fontId="4" fillId="0" borderId="5" xfId="0" applyFont="1" applyBorder="1" applyAlignment="1">
      <alignment horizontal="center" vertical="center" wrapText="1"/>
    </xf>
    <xf numFmtId="0" fontId="4" fillId="0" borderId="3" xfId="0" applyFont="1" applyBorder="1" applyAlignment="1">
      <alignment horizontal="center" vertical="center" wrapText="1"/>
    </xf>
    <xf numFmtId="0" fontId="4" fillId="0" borderId="2" xfId="0" applyFont="1" applyBorder="1" applyAlignment="1">
      <alignment horizontal="center" vertical="center" wrapText="1"/>
    </xf>
    <xf numFmtId="0" fontId="12" fillId="0" borderId="0" xfId="0" applyFont="1"/>
  </cellXfs>
  <cellStyles count="1">
    <cellStyle name="Normal" xfId="0" builtinId="0"/>
  </cellStyles>
  <dxfs count="1">
    <dxf>
      <fill>
        <patternFill>
          <bgColor rgb="FFFFC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H35"/>
  <sheetViews>
    <sheetView tabSelected="1" topLeftCell="A22" zoomScale="70" zoomScaleNormal="70" workbookViewId="0">
      <selection activeCell="G47" sqref="G47"/>
    </sheetView>
  </sheetViews>
  <sheetFormatPr defaultRowHeight="15" x14ac:dyDescent="0.25"/>
  <cols>
    <col min="1" max="1" width="4.28515625" bestFit="1" customWidth="1"/>
    <col min="2" max="2" width="55" customWidth="1"/>
    <col min="3" max="3" width="39.85546875" customWidth="1"/>
    <col min="4" max="4" width="49.140625" customWidth="1"/>
    <col min="5" max="5" width="23.28515625" customWidth="1"/>
  </cols>
  <sheetData>
    <row r="2" spans="1:8" ht="18.75" customHeight="1" x14ac:dyDescent="0.25">
      <c r="A2" s="68" t="s">
        <v>0</v>
      </c>
      <c r="B2" s="68" t="s">
        <v>16</v>
      </c>
      <c r="C2" s="69" t="s">
        <v>75</v>
      </c>
      <c r="D2" s="68" t="s">
        <v>73</v>
      </c>
      <c r="E2" s="68" t="s">
        <v>74</v>
      </c>
    </row>
    <row r="3" spans="1:8" ht="18.75" customHeight="1" x14ac:dyDescent="0.25">
      <c r="A3" s="68"/>
      <c r="B3" s="68"/>
      <c r="C3" s="70"/>
      <c r="D3" s="68"/>
      <c r="E3" s="68"/>
    </row>
    <row r="4" spans="1:8" ht="18.75" x14ac:dyDescent="0.25">
      <c r="A4" s="4" t="s">
        <v>17</v>
      </c>
      <c r="B4" s="5" t="s">
        <v>18</v>
      </c>
      <c r="C4" s="5"/>
      <c r="D4" s="4"/>
      <c r="E4" s="4"/>
    </row>
    <row r="5" spans="1:8" s="1" customFormat="1" ht="150" x14ac:dyDescent="0.25">
      <c r="A5" s="2">
        <v>1</v>
      </c>
      <c r="B5" s="3" t="s">
        <v>28</v>
      </c>
      <c r="C5" s="3" t="s">
        <v>98</v>
      </c>
      <c r="D5" s="55" t="s">
        <v>78</v>
      </c>
      <c r="E5" s="56" t="s">
        <v>77</v>
      </c>
    </row>
    <row r="6" spans="1:8" s="1" customFormat="1" ht="93.75" x14ac:dyDescent="0.25">
      <c r="A6" s="2">
        <v>2</v>
      </c>
      <c r="B6" s="3" t="s">
        <v>29</v>
      </c>
      <c r="C6" s="3" t="s">
        <v>79</v>
      </c>
      <c r="D6" s="55" t="s">
        <v>80</v>
      </c>
      <c r="E6" s="56" t="s">
        <v>81</v>
      </c>
    </row>
    <row r="7" spans="1:8" s="1" customFormat="1" ht="112.5" x14ac:dyDescent="0.25">
      <c r="A7" s="2">
        <v>3</v>
      </c>
      <c r="B7" s="3" t="s">
        <v>41</v>
      </c>
      <c r="C7" s="3" t="s">
        <v>106</v>
      </c>
      <c r="D7" s="55" t="s">
        <v>94</v>
      </c>
      <c r="E7" s="56" t="s">
        <v>95</v>
      </c>
    </row>
    <row r="8" spans="1:8" ht="131.25" x14ac:dyDescent="0.25">
      <c r="A8" s="2">
        <v>4</v>
      </c>
      <c r="B8" s="3" t="s">
        <v>41</v>
      </c>
      <c r="C8" s="3" t="s">
        <v>93</v>
      </c>
      <c r="D8" s="55" t="s">
        <v>87</v>
      </c>
      <c r="E8" s="56" t="s">
        <v>88</v>
      </c>
    </row>
    <row r="9" spans="1:8" ht="93.75" x14ac:dyDescent="0.25">
      <c r="A9" s="2">
        <v>5</v>
      </c>
      <c r="B9" s="3" t="s">
        <v>32</v>
      </c>
      <c r="C9" s="3" t="s">
        <v>89</v>
      </c>
      <c r="D9" s="55" t="s">
        <v>90</v>
      </c>
      <c r="E9" s="56" t="s">
        <v>88</v>
      </c>
    </row>
    <row r="10" spans="1:8" ht="93.75" x14ac:dyDescent="0.25">
      <c r="A10" s="2">
        <v>6</v>
      </c>
      <c r="B10" s="3" t="s">
        <v>33</v>
      </c>
      <c r="C10" s="3" t="s">
        <v>91</v>
      </c>
      <c r="D10" s="55" t="s">
        <v>97</v>
      </c>
      <c r="E10" s="56" t="s">
        <v>92</v>
      </c>
    </row>
    <row r="11" spans="1:8" ht="75" x14ac:dyDescent="0.25">
      <c r="A11" s="2">
        <v>7</v>
      </c>
      <c r="B11" s="55" t="s">
        <v>34</v>
      </c>
      <c r="C11" s="3" t="s">
        <v>99</v>
      </c>
      <c r="D11" s="55" t="s">
        <v>96</v>
      </c>
      <c r="E11" s="56" t="s">
        <v>95</v>
      </c>
    </row>
    <row r="12" spans="1:8" ht="37.5" x14ac:dyDescent="0.25">
      <c r="A12" s="2">
        <v>8</v>
      </c>
      <c r="B12" s="55" t="s">
        <v>35</v>
      </c>
      <c r="C12" s="3" t="s">
        <v>100</v>
      </c>
      <c r="D12" s="55" t="s">
        <v>101</v>
      </c>
      <c r="E12" s="56" t="s">
        <v>102</v>
      </c>
    </row>
    <row r="13" spans="1:8" ht="112.5" x14ac:dyDescent="0.25">
      <c r="A13" s="2">
        <v>9</v>
      </c>
      <c r="B13" s="55" t="s">
        <v>37</v>
      </c>
      <c r="C13" s="3" t="s">
        <v>123</v>
      </c>
      <c r="D13" s="55" t="s">
        <v>124</v>
      </c>
      <c r="E13" s="56" t="s">
        <v>125</v>
      </c>
    </row>
    <row r="14" spans="1:8" ht="105" customHeight="1" x14ac:dyDescent="0.25">
      <c r="A14" s="2">
        <v>10</v>
      </c>
      <c r="B14" s="55" t="s">
        <v>38</v>
      </c>
      <c r="C14" s="63" t="s">
        <v>114</v>
      </c>
      <c r="D14" s="2" t="s">
        <v>115</v>
      </c>
      <c r="E14" s="56" t="s">
        <v>116</v>
      </c>
    </row>
    <row r="15" spans="1:8" ht="150" x14ac:dyDescent="0.25">
      <c r="A15" s="2">
        <v>11</v>
      </c>
      <c r="B15" s="55" t="s">
        <v>39</v>
      </c>
      <c r="C15" s="2" t="s">
        <v>107</v>
      </c>
      <c r="D15" s="2" t="s">
        <v>108</v>
      </c>
      <c r="E15" s="56" t="s">
        <v>109</v>
      </c>
    </row>
    <row r="16" spans="1:8" ht="168.75" x14ac:dyDescent="0.25">
      <c r="A16" s="2">
        <v>12</v>
      </c>
      <c r="B16" s="55" t="s">
        <v>19</v>
      </c>
      <c r="C16" s="64" t="s">
        <v>131</v>
      </c>
      <c r="D16" s="2" t="s">
        <v>132</v>
      </c>
      <c r="E16" s="56" t="s">
        <v>133</v>
      </c>
      <c r="H16" t="s">
        <v>40</v>
      </c>
    </row>
    <row r="17" spans="1:5" ht="56.25" x14ac:dyDescent="0.25">
      <c r="A17" s="2">
        <v>13</v>
      </c>
      <c r="B17" s="55" t="s">
        <v>20</v>
      </c>
      <c r="C17" s="2" t="s">
        <v>117</v>
      </c>
      <c r="D17" s="65" t="s">
        <v>113</v>
      </c>
      <c r="E17" s="56" t="s">
        <v>118</v>
      </c>
    </row>
    <row r="18" spans="1:5" ht="18.75" x14ac:dyDescent="0.25">
      <c r="A18" s="2">
        <v>14</v>
      </c>
      <c r="B18" s="67" t="s">
        <v>56</v>
      </c>
      <c r="C18" s="65" t="s">
        <v>138</v>
      </c>
      <c r="D18" s="66" t="s">
        <v>76</v>
      </c>
      <c r="E18" s="56" t="s">
        <v>139</v>
      </c>
    </row>
    <row r="19" spans="1:5" ht="18.75" x14ac:dyDescent="0.25">
      <c r="A19" s="4" t="s">
        <v>21</v>
      </c>
      <c r="B19" s="5" t="s">
        <v>22</v>
      </c>
      <c r="C19" s="5"/>
      <c r="D19" s="57"/>
      <c r="E19" s="56"/>
    </row>
    <row r="20" spans="1:5" ht="37.5" x14ac:dyDescent="0.25">
      <c r="A20" s="2">
        <v>1</v>
      </c>
      <c r="B20" s="55" t="s">
        <v>31</v>
      </c>
      <c r="C20" s="2" t="s">
        <v>84</v>
      </c>
      <c r="D20" s="2" t="s">
        <v>85</v>
      </c>
      <c r="E20" s="56" t="s">
        <v>86</v>
      </c>
    </row>
    <row r="21" spans="1:5" ht="37.5" x14ac:dyDescent="0.25">
      <c r="A21" s="2">
        <v>2</v>
      </c>
      <c r="B21" s="55" t="s">
        <v>32</v>
      </c>
      <c r="C21" s="2" t="s">
        <v>129</v>
      </c>
      <c r="D21" s="2" t="s">
        <v>128</v>
      </c>
      <c r="E21" s="56" t="s">
        <v>130</v>
      </c>
    </row>
    <row r="22" spans="1:5" s="1" customFormat="1" ht="75" x14ac:dyDescent="0.25">
      <c r="A22" s="2">
        <v>3</v>
      </c>
      <c r="B22" s="55" t="s">
        <v>134</v>
      </c>
      <c r="C22" s="2"/>
      <c r="D22" s="2" t="s">
        <v>72</v>
      </c>
      <c r="E22" s="56" t="s">
        <v>135</v>
      </c>
    </row>
    <row r="23" spans="1:5" s="1" customFormat="1" ht="37.5" x14ac:dyDescent="0.25">
      <c r="A23" s="2">
        <v>4</v>
      </c>
      <c r="B23" s="55" t="s">
        <v>30</v>
      </c>
      <c r="C23" s="2" t="s">
        <v>82</v>
      </c>
      <c r="D23" s="2" t="s">
        <v>137</v>
      </c>
      <c r="E23" s="56" t="s">
        <v>83</v>
      </c>
    </row>
    <row r="24" spans="1:5" s="1" customFormat="1" ht="37.5" x14ac:dyDescent="0.25">
      <c r="A24" s="2">
        <v>5</v>
      </c>
      <c r="B24" s="55" t="s">
        <v>36</v>
      </c>
      <c r="C24" s="2"/>
      <c r="D24" s="2" t="s">
        <v>136</v>
      </c>
      <c r="E24" s="56"/>
    </row>
    <row r="25" spans="1:5" ht="18.75" x14ac:dyDescent="0.3">
      <c r="A25" s="2">
        <v>6</v>
      </c>
      <c r="B25" s="58" t="s">
        <v>103</v>
      </c>
      <c r="C25" s="59" t="s">
        <v>104</v>
      </c>
      <c r="D25" s="59" t="s">
        <v>105</v>
      </c>
      <c r="E25" s="60">
        <v>46590</v>
      </c>
    </row>
    <row r="26" spans="1:5" ht="18.75" x14ac:dyDescent="0.3">
      <c r="A26" s="2">
        <v>7</v>
      </c>
      <c r="B26" s="61" t="s">
        <v>110</v>
      </c>
      <c r="C26" s="62" t="s">
        <v>111</v>
      </c>
      <c r="D26" s="59" t="s">
        <v>112</v>
      </c>
      <c r="E26" s="60">
        <v>47008</v>
      </c>
    </row>
    <row r="27" spans="1:5" ht="18.75" x14ac:dyDescent="0.3">
      <c r="A27" s="2">
        <v>8</v>
      </c>
      <c r="B27" s="58" t="s">
        <v>119</v>
      </c>
      <c r="C27" s="59" t="s">
        <v>120</v>
      </c>
      <c r="D27" s="59" t="s">
        <v>122</v>
      </c>
      <c r="E27" s="56" t="s">
        <v>121</v>
      </c>
    </row>
    <row r="28" spans="1:5" ht="18.75" x14ac:dyDescent="0.3">
      <c r="A28" s="2">
        <v>9</v>
      </c>
      <c r="B28" s="58" t="s">
        <v>126</v>
      </c>
      <c r="C28" s="59" t="s">
        <v>127</v>
      </c>
      <c r="D28" s="59" t="s">
        <v>122</v>
      </c>
      <c r="E28" s="56" t="s">
        <v>118</v>
      </c>
    </row>
    <row r="29" spans="1:5" ht="18.75" x14ac:dyDescent="0.25">
      <c r="A29" s="23"/>
    </row>
    <row r="34" spans="2:2" ht="16.5" x14ac:dyDescent="0.3">
      <c r="B34" s="77" t="s">
        <v>141</v>
      </c>
    </row>
    <row r="35" spans="2:2" x14ac:dyDescent="0.25">
      <c r="B35" t="s">
        <v>140</v>
      </c>
    </row>
  </sheetData>
  <mergeCells count="5">
    <mergeCell ref="A2:A3"/>
    <mergeCell ref="B2:B3"/>
    <mergeCell ref="D2:D3"/>
    <mergeCell ref="E2:E3"/>
    <mergeCell ref="C2:C3"/>
  </mergeCells>
  <conditionalFormatting sqref="B26:C26">
    <cfRule type="expression" dxfId="0" priority="2" stopIfTrue="1">
      <formula>$P26=$Q$2</formula>
    </cfRule>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67"/>
  <sheetViews>
    <sheetView topLeftCell="B4" zoomScale="70" zoomScaleNormal="70" workbookViewId="0">
      <pane xSplit="1" ySplit="1" topLeftCell="F14" activePane="bottomRight" state="frozen"/>
      <selection activeCell="B4" sqref="B4"/>
      <selection pane="topRight" activeCell="C4" sqref="C4"/>
      <selection pane="bottomLeft" activeCell="B5" sqref="B5"/>
      <selection pane="bottomRight" activeCell="B21" sqref="B21"/>
    </sheetView>
  </sheetViews>
  <sheetFormatPr defaultRowHeight="15.75" x14ac:dyDescent="0.25"/>
  <cols>
    <col min="1" max="1" width="9.140625" style="8"/>
    <col min="2" max="2" width="64.140625" style="8" customWidth="1"/>
    <col min="3" max="3" width="15.28515625" style="8" customWidth="1"/>
    <col min="4" max="4" width="15.7109375" style="8" customWidth="1"/>
    <col min="5" max="5" width="15.28515625" style="8" customWidth="1"/>
    <col min="6" max="6" width="15.5703125" style="8" customWidth="1"/>
    <col min="7" max="7" width="15" style="8" customWidth="1"/>
    <col min="8" max="8" width="15.7109375" style="8" customWidth="1"/>
    <col min="9" max="9" width="9.28515625" style="8" bestFit="1" customWidth="1"/>
    <col min="10" max="10" width="11" style="8" bestFit="1" customWidth="1"/>
    <col min="11" max="11" width="11.85546875" style="8" customWidth="1"/>
    <col min="12" max="12" width="16.85546875" style="8" customWidth="1"/>
    <col min="13" max="13" width="15.5703125" style="8" customWidth="1"/>
    <col min="14" max="14" width="9.28515625" style="8" bestFit="1" customWidth="1"/>
    <col min="15" max="16" width="13.140625" style="8" customWidth="1"/>
    <col min="17" max="17" width="17" style="8" customWidth="1"/>
    <col min="18" max="18" width="12.7109375" style="8" customWidth="1"/>
    <col min="19" max="16384" width="9.140625" style="8"/>
  </cols>
  <sheetData>
    <row r="1" spans="1:18" ht="22.5" x14ac:dyDescent="0.3">
      <c r="C1" s="22" t="s">
        <v>27</v>
      </c>
      <c r="D1" s="22"/>
      <c r="E1" s="22"/>
      <c r="F1" s="22"/>
      <c r="G1" s="22"/>
      <c r="H1" s="22"/>
      <c r="I1" s="22"/>
    </row>
    <row r="3" spans="1:18" x14ac:dyDescent="0.25">
      <c r="A3" s="71" t="s">
        <v>0</v>
      </c>
      <c r="B3" s="72" t="s">
        <v>25</v>
      </c>
      <c r="C3" s="71" t="s">
        <v>1</v>
      </c>
      <c r="D3" s="71" t="s">
        <v>2</v>
      </c>
      <c r="E3" s="71"/>
      <c r="F3" s="71"/>
      <c r="G3" s="71"/>
      <c r="H3" s="71"/>
      <c r="I3" s="71" t="s">
        <v>3</v>
      </c>
      <c r="J3" s="71"/>
      <c r="K3" s="71"/>
      <c r="L3" s="71"/>
      <c r="M3" s="71"/>
      <c r="N3" s="71" t="s">
        <v>14</v>
      </c>
      <c r="O3" s="74" t="s">
        <v>26</v>
      </c>
      <c r="P3" s="71" t="s">
        <v>13</v>
      </c>
      <c r="Q3" s="71" t="s">
        <v>15</v>
      </c>
      <c r="R3" s="72" t="s">
        <v>24</v>
      </c>
    </row>
    <row r="4" spans="1:18" ht="123" customHeight="1" x14ac:dyDescent="0.25">
      <c r="A4" s="71"/>
      <c r="B4" s="73"/>
      <c r="C4" s="71"/>
      <c r="D4" s="6" t="s">
        <v>4</v>
      </c>
      <c r="E4" s="6" t="s">
        <v>5</v>
      </c>
      <c r="F4" s="6" t="s">
        <v>6</v>
      </c>
      <c r="G4" s="6" t="s">
        <v>7</v>
      </c>
      <c r="H4" s="20" t="s">
        <v>8</v>
      </c>
      <c r="I4" s="6" t="s">
        <v>9</v>
      </c>
      <c r="J4" s="6" t="s">
        <v>10</v>
      </c>
      <c r="K4" s="6" t="s">
        <v>11</v>
      </c>
      <c r="L4" s="6" t="s">
        <v>12</v>
      </c>
      <c r="M4" s="20" t="s">
        <v>8</v>
      </c>
      <c r="N4" s="71"/>
      <c r="O4" s="75"/>
      <c r="P4" s="71"/>
      <c r="Q4" s="76"/>
      <c r="R4" s="73"/>
    </row>
    <row r="5" spans="1:18" ht="37.5" x14ac:dyDescent="0.25">
      <c r="A5" s="7">
        <v>1</v>
      </c>
      <c r="B5" s="3" t="s">
        <v>28</v>
      </c>
      <c r="C5" s="11" t="s">
        <v>42</v>
      </c>
      <c r="D5" s="13"/>
      <c r="E5" s="13"/>
      <c r="F5" s="13"/>
      <c r="G5" s="13"/>
      <c r="H5" s="21">
        <f>SUM(D5:G5)</f>
        <v>0</v>
      </c>
      <c r="I5" s="13"/>
      <c r="J5" s="13"/>
      <c r="K5" s="13"/>
      <c r="L5" s="13"/>
      <c r="M5" s="21">
        <f>SUM(I5:L5)</f>
        <v>0</v>
      </c>
      <c r="N5" s="13"/>
      <c r="O5" s="13"/>
      <c r="P5" s="13"/>
      <c r="Q5" s="14"/>
      <c r="R5" s="15"/>
    </row>
    <row r="6" spans="1:18" ht="18.75" x14ac:dyDescent="0.25">
      <c r="A6" s="7">
        <v>2</v>
      </c>
      <c r="B6" s="3" t="s">
        <v>29</v>
      </c>
      <c r="C6" s="11" t="s">
        <v>42</v>
      </c>
      <c r="D6" s="13"/>
      <c r="E6" s="13"/>
      <c r="F6" s="13"/>
      <c r="G6" s="13"/>
      <c r="H6" s="21">
        <f t="shared" ref="H6:H39" si="0">SUM(D6:G6)</f>
        <v>0</v>
      </c>
      <c r="I6" s="13"/>
      <c r="J6" s="13"/>
      <c r="K6" s="13"/>
      <c r="L6" s="13"/>
      <c r="M6" s="21">
        <f t="shared" ref="M6:M39" si="1">SUM(I6:L6)</f>
        <v>0</v>
      </c>
      <c r="N6" s="13"/>
      <c r="O6" s="13"/>
      <c r="P6" s="13"/>
      <c r="Q6" s="14"/>
      <c r="R6" s="15"/>
    </row>
    <row r="7" spans="1:18" ht="37.5" x14ac:dyDescent="0.25">
      <c r="A7" s="7">
        <v>3</v>
      </c>
      <c r="B7" s="3" t="s">
        <v>41</v>
      </c>
      <c r="C7" s="11"/>
      <c r="D7" s="13"/>
      <c r="E7" s="13">
        <v>3332</v>
      </c>
      <c r="F7" s="13"/>
      <c r="G7" s="13"/>
      <c r="H7" s="21">
        <f t="shared" si="0"/>
        <v>3332</v>
      </c>
      <c r="I7" s="13"/>
      <c r="J7" s="13"/>
      <c r="K7" s="25">
        <v>3440</v>
      </c>
      <c r="L7" s="13"/>
      <c r="M7" s="21">
        <f t="shared" si="1"/>
        <v>3440</v>
      </c>
      <c r="N7" s="13"/>
      <c r="O7" s="13"/>
      <c r="P7" s="13"/>
      <c r="Q7" s="16"/>
      <c r="R7" s="15"/>
    </row>
    <row r="8" spans="1:18" ht="18.75" x14ac:dyDescent="0.25">
      <c r="A8" s="7"/>
      <c r="B8" s="24" t="s">
        <v>43</v>
      </c>
      <c r="C8" s="11"/>
      <c r="D8" s="13"/>
      <c r="E8" s="13">
        <v>3534</v>
      </c>
      <c r="F8" s="13"/>
      <c r="G8" s="13"/>
      <c r="H8" s="21">
        <f t="shared" si="0"/>
        <v>3534</v>
      </c>
      <c r="I8" s="13"/>
      <c r="J8" s="13"/>
      <c r="K8" s="13">
        <v>2174</v>
      </c>
      <c r="L8" s="13"/>
      <c r="M8" s="21">
        <f t="shared" si="1"/>
        <v>2174</v>
      </c>
      <c r="N8" s="13"/>
      <c r="O8" s="13"/>
      <c r="P8" s="13"/>
      <c r="Q8" s="16"/>
      <c r="R8" s="15"/>
    </row>
    <row r="9" spans="1:18" ht="37.5" x14ac:dyDescent="0.25">
      <c r="A9" s="7">
        <v>4</v>
      </c>
      <c r="B9" s="3" t="s">
        <v>32</v>
      </c>
      <c r="C9" s="11"/>
      <c r="D9" s="13"/>
      <c r="E9" s="19">
        <v>15236</v>
      </c>
      <c r="F9" s="13"/>
      <c r="G9" s="13">
        <v>11238</v>
      </c>
      <c r="H9" s="21">
        <f t="shared" si="0"/>
        <v>26474</v>
      </c>
      <c r="I9" s="13"/>
      <c r="J9" s="13">
        <v>3855</v>
      </c>
      <c r="K9" s="13">
        <v>605</v>
      </c>
      <c r="L9" s="13">
        <v>1087</v>
      </c>
      <c r="M9" s="21">
        <f t="shared" si="1"/>
        <v>5547</v>
      </c>
      <c r="N9" s="13"/>
      <c r="O9" s="13"/>
      <c r="P9" s="13"/>
      <c r="Q9" s="14"/>
      <c r="R9" s="15">
        <v>605</v>
      </c>
    </row>
    <row r="10" spans="1:18" ht="18.75" x14ac:dyDescent="0.25">
      <c r="A10" s="7"/>
      <c r="B10" s="24" t="s">
        <v>44</v>
      </c>
      <c r="C10" s="11"/>
      <c r="D10" s="13"/>
      <c r="E10" s="19">
        <v>4689</v>
      </c>
      <c r="F10" s="13"/>
      <c r="G10" s="13"/>
      <c r="H10" s="21">
        <f t="shared" si="0"/>
        <v>4689</v>
      </c>
      <c r="I10" s="13"/>
      <c r="J10" s="13"/>
      <c r="K10" s="13">
        <v>2244</v>
      </c>
      <c r="L10" s="13"/>
      <c r="M10" s="21">
        <f t="shared" si="1"/>
        <v>2244</v>
      </c>
      <c r="N10" s="13"/>
      <c r="O10" s="13"/>
      <c r="P10" s="13"/>
      <c r="Q10" s="14"/>
      <c r="R10" s="15"/>
    </row>
    <row r="11" spans="1:18" ht="18.75" x14ac:dyDescent="0.25">
      <c r="A11" s="7">
        <v>5</v>
      </c>
      <c r="B11" s="3" t="s">
        <v>33</v>
      </c>
      <c r="C11" s="11" t="s">
        <v>42</v>
      </c>
      <c r="D11" s="13"/>
      <c r="E11" s="13"/>
      <c r="F11" s="13"/>
      <c r="G11" s="13"/>
      <c r="H11" s="21">
        <f t="shared" si="0"/>
        <v>0</v>
      </c>
      <c r="I11" s="13"/>
      <c r="J11" s="13"/>
      <c r="K11" s="13"/>
      <c r="L11" s="13"/>
      <c r="M11" s="21">
        <f t="shared" si="1"/>
        <v>0</v>
      </c>
      <c r="N11" s="13"/>
      <c r="O11" s="13"/>
      <c r="P11" s="13"/>
      <c r="Q11" s="14"/>
      <c r="R11" s="15"/>
    </row>
    <row r="12" spans="1:18" ht="18.75" x14ac:dyDescent="0.25">
      <c r="A12" s="7">
        <v>6</v>
      </c>
      <c r="B12" s="3" t="s">
        <v>34</v>
      </c>
      <c r="C12" s="11" t="s">
        <v>42</v>
      </c>
      <c r="D12" s="13"/>
      <c r="E12" s="13"/>
      <c r="F12" s="13"/>
      <c r="G12" s="13"/>
      <c r="H12" s="21">
        <f t="shared" si="0"/>
        <v>0</v>
      </c>
      <c r="I12" s="13"/>
      <c r="J12" s="13"/>
      <c r="K12" s="13"/>
      <c r="L12" s="13"/>
      <c r="M12" s="21">
        <f t="shared" si="1"/>
        <v>0</v>
      </c>
      <c r="N12" s="13"/>
      <c r="O12" s="13"/>
      <c r="P12" s="13"/>
      <c r="Q12" s="16"/>
      <c r="R12" s="15"/>
    </row>
    <row r="13" spans="1:18" ht="18.75" x14ac:dyDescent="0.25">
      <c r="A13" s="7">
        <v>7</v>
      </c>
      <c r="B13" s="3" t="s">
        <v>35</v>
      </c>
      <c r="C13" s="11" t="s">
        <v>42</v>
      </c>
      <c r="D13" s="13"/>
      <c r="E13" s="13"/>
      <c r="F13" s="13"/>
      <c r="G13" s="13"/>
      <c r="H13" s="21">
        <f t="shared" si="0"/>
        <v>0</v>
      </c>
      <c r="I13" s="13"/>
      <c r="J13" s="13"/>
      <c r="K13" s="13"/>
      <c r="L13" s="13"/>
      <c r="M13" s="21">
        <f t="shared" si="1"/>
        <v>0</v>
      </c>
      <c r="N13" s="13"/>
      <c r="O13" s="13"/>
      <c r="P13" s="13"/>
      <c r="Q13" s="17"/>
      <c r="R13" s="15"/>
    </row>
    <row r="14" spans="1:18" s="38" customFormat="1" ht="18.75" x14ac:dyDescent="0.25">
      <c r="A14" s="30">
        <v>8</v>
      </c>
      <c r="B14" s="31" t="s">
        <v>37</v>
      </c>
      <c r="C14" s="32" t="s">
        <v>42</v>
      </c>
      <c r="D14" s="33" t="s">
        <v>63</v>
      </c>
      <c r="E14" s="34">
        <v>3320</v>
      </c>
      <c r="F14" s="33"/>
      <c r="G14" s="33">
        <v>19603</v>
      </c>
      <c r="H14" s="35">
        <f t="shared" si="0"/>
        <v>22923</v>
      </c>
      <c r="I14" s="33"/>
      <c r="J14" s="36">
        <v>96</v>
      </c>
      <c r="K14" s="36">
        <v>3701</v>
      </c>
      <c r="L14" s="36">
        <v>2044</v>
      </c>
      <c r="M14" s="35">
        <f t="shared" si="1"/>
        <v>5841</v>
      </c>
      <c r="N14" s="33"/>
      <c r="O14" s="33"/>
      <c r="P14" s="36"/>
      <c r="Q14" s="33"/>
      <c r="R14" s="37"/>
    </row>
    <row r="15" spans="1:18" ht="18.75" x14ac:dyDescent="0.25">
      <c r="A15" s="7">
        <v>9</v>
      </c>
      <c r="B15" s="3" t="s">
        <v>38</v>
      </c>
      <c r="C15" s="11" t="s">
        <v>45</v>
      </c>
      <c r="D15" s="13">
        <v>30018</v>
      </c>
      <c r="E15" s="18"/>
      <c r="F15" s="13"/>
      <c r="G15" s="13"/>
      <c r="H15" s="21">
        <f t="shared" si="0"/>
        <v>30018</v>
      </c>
      <c r="I15" s="13"/>
      <c r="J15" s="19">
        <v>648</v>
      </c>
      <c r="K15" s="19"/>
      <c r="L15" s="19">
        <v>13316</v>
      </c>
      <c r="M15" s="21">
        <f t="shared" si="1"/>
        <v>13964</v>
      </c>
      <c r="N15" s="13"/>
      <c r="O15" s="13"/>
      <c r="P15" s="19">
        <v>41600</v>
      </c>
      <c r="Q15" s="13"/>
      <c r="R15" s="15"/>
    </row>
    <row r="16" spans="1:18" s="46" customFormat="1" ht="18.75" x14ac:dyDescent="0.25">
      <c r="A16" s="39"/>
      <c r="B16" s="3" t="s">
        <v>23</v>
      </c>
      <c r="C16" s="40" t="s">
        <v>45</v>
      </c>
      <c r="D16" s="41"/>
      <c r="E16" s="42">
        <v>288</v>
      </c>
      <c r="F16" s="41"/>
      <c r="G16" s="41">
        <v>1500</v>
      </c>
      <c r="H16" s="43">
        <f t="shared" si="0"/>
        <v>1788</v>
      </c>
      <c r="I16" s="41"/>
      <c r="J16" s="44"/>
      <c r="K16" s="44">
        <v>330</v>
      </c>
      <c r="L16" s="44">
        <v>80</v>
      </c>
      <c r="M16" s="43">
        <f t="shared" si="1"/>
        <v>410</v>
      </c>
      <c r="N16" s="41"/>
      <c r="O16" s="41"/>
      <c r="P16" s="44"/>
      <c r="Q16" s="41"/>
      <c r="R16" s="45"/>
    </row>
    <row r="17" spans="1:18" s="38" customFormat="1" ht="18.75" x14ac:dyDescent="0.25">
      <c r="A17" s="30">
        <v>10</v>
      </c>
      <c r="B17" s="31" t="s">
        <v>39</v>
      </c>
      <c r="C17" s="32" t="s">
        <v>42</v>
      </c>
      <c r="D17" s="33" t="s">
        <v>60</v>
      </c>
      <c r="E17" s="34"/>
      <c r="F17" s="33"/>
      <c r="G17" s="33"/>
      <c r="H17" s="35">
        <v>32016</v>
      </c>
      <c r="I17" s="33"/>
      <c r="J17" s="36"/>
      <c r="K17" s="36"/>
      <c r="L17" s="36"/>
      <c r="M17" s="35">
        <v>13836</v>
      </c>
      <c r="N17" s="33"/>
      <c r="O17" s="33"/>
      <c r="P17" s="36">
        <v>9650</v>
      </c>
      <c r="Q17" s="33"/>
      <c r="R17" s="37">
        <v>0</v>
      </c>
    </row>
    <row r="18" spans="1:18" s="38" customFormat="1" ht="18.75" x14ac:dyDescent="0.25">
      <c r="A18" s="30">
        <v>11</v>
      </c>
      <c r="B18" s="31" t="s">
        <v>19</v>
      </c>
      <c r="C18" s="32" t="s">
        <v>42</v>
      </c>
      <c r="D18" s="33"/>
      <c r="E18" s="34"/>
      <c r="F18" s="33"/>
      <c r="G18" s="33"/>
      <c r="H18" s="35">
        <v>7920</v>
      </c>
      <c r="I18" s="33"/>
      <c r="J18" s="36"/>
      <c r="K18" s="36"/>
      <c r="L18" s="36"/>
      <c r="M18" s="35">
        <v>2640</v>
      </c>
      <c r="N18" s="33"/>
      <c r="O18" s="33"/>
      <c r="P18" s="36"/>
      <c r="Q18" s="47"/>
      <c r="R18" s="37"/>
    </row>
    <row r="19" spans="1:18" ht="18.75" x14ac:dyDescent="0.25">
      <c r="A19" s="7">
        <v>12</v>
      </c>
      <c r="B19" s="3" t="s">
        <v>20</v>
      </c>
      <c r="C19" s="11" t="s">
        <v>46</v>
      </c>
      <c r="D19" s="13"/>
      <c r="E19" s="18"/>
      <c r="F19" s="13"/>
      <c r="G19" s="13"/>
      <c r="H19" s="21">
        <f t="shared" si="0"/>
        <v>0</v>
      </c>
      <c r="I19" s="13"/>
      <c r="J19" s="19"/>
      <c r="K19" s="19"/>
      <c r="L19" s="19"/>
      <c r="M19" s="21">
        <f t="shared" si="1"/>
        <v>0</v>
      </c>
      <c r="N19" s="13"/>
      <c r="O19" s="13"/>
      <c r="P19" s="19"/>
      <c r="Q19" s="16"/>
      <c r="R19" s="15"/>
    </row>
    <row r="20" spans="1:18" ht="18.75" x14ac:dyDescent="0.25">
      <c r="A20" s="7">
        <v>13</v>
      </c>
      <c r="B20" s="3" t="s">
        <v>31</v>
      </c>
      <c r="C20" s="11" t="s">
        <v>47</v>
      </c>
      <c r="D20" s="13"/>
      <c r="E20" s="13">
        <v>0</v>
      </c>
      <c r="F20" s="13">
        <v>0</v>
      </c>
      <c r="G20" s="13">
        <v>0</v>
      </c>
      <c r="H20" s="21">
        <f t="shared" si="0"/>
        <v>0</v>
      </c>
      <c r="I20" s="13"/>
      <c r="J20" s="13"/>
      <c r="K20" s="13"/>
      <c r="L20" s="13"/>
      <c r="M20" s="21">
        <f t="shared" si="1"/>
        <v>0</v>
      </c>
      <c r="N20" s="13"/>
      <c r="O20" s="13"/>
      <c r="P20" s="13"/>
      <c r="Q20" s="16"/>
      <c r="R20" s="15"/>
    </row>
    <row r="21" spans="1:18" ht="31.5" x14ac:dyDescent="0.25">
      <c r="A21" s="7">
        <v>15</v>
      </c>
      <c r="B21" s="3" t="s">
        <v>52</v>
      </c>
      <c r="C21" s="11"/>
      <c r="D21" s="13" t="s">
        <v>61</v>
      </c>
      <c r="E21" s="13">
        <v>266</v>
      </c>
      <c r="F21" s="13">
        <v>13</v>
      </c>
      <c r="G21" s="13"/>
      <c r="H21" s="21">
        <f t="shared" si="0"/>
        <v>279</v>
      </c>
      <c r="I21" s="13"/>
      <c r="J21" s="13">
        <v>4865</v>
      </c>
      <c r="K21" s="13"/>
      <c r="L21" s="13"/>
      <c r="M21" s="21">
        <f t="shared" si="1"/>
        <v>4865</v>
      </c>
      <c r="N21" s="13"/>
      <c r="O21" s="13"/>
      <c r="P21" s="13">
        <v>8930</v>
      </c>
      <c r="Q21" s="16"/>
      <c r="R21" s="15"/>
    </row>
    <row r="22" spans="1:18" ht="31.5" x14ac:dyDescent="0.25">
      <c r="A22" s="7"/>
      <c r="B22" s="24" t="s">
        <v>51</v>
      </c>
      <c r="C22" s="11"/>
      <c r="D22" s="13" t="s">
        <v>61</v>
      </c>
      <c r="E22" s="13"/>
      <c r="F22" s="13">
        <v>1283</v>
      </c>
      <c r="G22" s="13"/>
      <c r="H22" s="21">
        <f t="shared" si="0"/>
        <v>1283</v>
      </c>
      <c r="I22" s="13"/>
      <c r="J22" s="13">
        <v>15377</v>
      </c>
      <c r="K22" s="13"/>
      <c r="L22" s="13"/>
      <c r="M22" s="21">
        <f t="shared" si="1"/>
        <v>15377</v>
      </c>
      <c r="N22" s="13"/>
      <c r="O22" s="13"/>
      <c r="P22" s="13"/>
      <c r="Q22" s="16"/>
      <c r="R22" s="15"/>
    </row>
    <row r="23" spans="1:18" ht="18.75" x14ac:dyDescent="0.25">
      <c r="A23" s="7">
        <v>16</v>
      </c>
      <c r="B23" s="3" t="s">
        <v>30</v>
      </c>
      <c r="C23" s="11"/>
      <c r="D23" s="13"/>
      <c r="E23" s="13">
        <v>35</v>
      </c>
      <c r="F23" s="13"/>
      <c r="G23" s="13"/>
      <c r="H23" s="21">
        <f t="shared" si="0"/>
        <v>35</v>
      </c>
      <c r="I23" s="13"/>
      <c r="J23" s="13">
        <v>240</v>
      </c>
      <c r="K23" s="13"/>
      <c r="L23" s="13"/>
      <c r="M23" s="21">
        <f t="shared" si="1"/>
        <v>240</v>
      </c>
      <c r="N23" s="13"/>
      <c r="O23" s="13"/>
      <c r="P23" s="13">
        <v>950</v>
      </c>
      <c r="Q23" s="16"/>
      <c r="R23" s="15"/>
    </row>
    <row r="24" spans="1:18" ht="31.5" x14ac:dyDescent="0.25">
      <c r="A24" s="7">
        <v>17</v>
      </c>
      <c r="B24" s="3" t="s">
        <v>36</v>
      </c>
      <c r="C24" s="11"/>
      <c r="D24" s="13" t="s">
        <v>61</v>
      </c>
      <c r="E24" s="13">
        <v>36</v>
      </c>
      <c r="F24" s="13"/>
      <c r="G24" s="13"/>
      <c r="H24" s="21">
        <f t="shared" si="0"/>
        <v>36</v>
      </c>
      <c r="I24" s="13"/>
      <c r="J24" s="13">
        <v>686</v>
      </c>
      <c r="K24" s="13"/>
      <c r="L24" s="13"/>
      <c r="M24" s="21">
        <f t="shared" si="1"/>
        <v>686</v>
      </c>
      <c r="N24" s="13"/>
      <c r="O24" s="13"/>
      <c r="P24" s="13">
        <v>2750</v>
      </c>
      <c r="Q24" s="14"/>
      <c r="R24" s="15"/>
    </row>
    <row r="25" spans="1:18" s="38" customFormat="1" ht="29.25" customHeight="1" x14ac:dyDescent="0.25">
      <c r="A25" s="30"/>
      <c r="B25" s="31" t="s">
        <v>48</v>
      </c>
      <c r="C25" s="32" t="s">
        <v>64</v>
      </c>
      <c r="D25" s="33"/>
      <c r="E25" s="33">
        <v>6496</v>
      </c>
      <c r="F25" s="33">
        <v>5904</v>
      </c>
      <c r="G25" s="33">
        <v>42640</v>
      </c>
      <c r="H25" s="35">
        <f t="shared" si="0"/>
        <v>55040</v>
      </c>
      <c r="I25" s="33"/>
      <c r="J25" s="33">
        <v>148</v>
      </c>
      <c r="K25" s="33">
        <v>1040</v>
      </c>
      <c r="L25" s="33">
        <v>4686</v>
      </c>
      <c r="M25" s="35">
        <f t="shared" si="1"/>
        <v>5874</v>
      </c>
      <c r="N25" s="33"/>
      <c r="O25" s="33"/>
      <c r="P25" s="33"/>
      <c r="Q25" s="48"/>
      <c r="R25" s="37">
        <v>2637</v>
      </c>
    </row>
    <row r="26" spans="1:18" ht="18.75" x14ac:dyDescent="0.25">
      <c r="A26" s="7"/>
      <c r="B26" s="24" t="s">
        <v>53</v>
      </c>
      <c r="C26" s="11"/>
      <c r="D26" s="13"/>
      <c r="E26" s="13">
        <v>3984</v>
      </c>
      <c r="F26" s="13">
        <v>1992</v>
      </c>
      <c r="G26" s="13">
        <v>21860</v>
      </c>
      <c r="H26" s="21">
        <f t="shared" si="0"/>
        <v>27836</v>
      </c>
      <c r="I26" s="13"/>
      <c r="J26" s="13">
        <v>46</v>
      </c>
      <c r="K26" s="13"/>
      <c r="L26" s="13">
        <v>1801</v>
      </c>
      <c r="M26" s="21">
        <f t="shared" si="1"/>
        <v>1847</v>
      </c>
      <c r="N26" s="13"/>
      <c r="O26" s="13"/>
      <c r="P26" s="13"/>
      <c r="Q26" s="14"/>
      <c r="R26" s="15">
        <v>1101</v>
      </c>
    </row>
    <row r="27" spans="1:18" ht="18.75" x14ac:dyDescent="0.25">
      <c r="A27" s="7"/>
      <c r="B27" s="3" t="s">
        <v>49</v>
      </c>
      <c r="C27" s="11"/>
      <c r="D27" s="13"/>
      <c r="E27" s="13">
        <v>6650</v>
      </c>
      <c r="F27" s="13"/>
      <c r="G27" s="13">
        <v>22842</v>
      </c>
      <c r="H27" s="21">
        <f t="shared" si="0"/>
        <v>29492</v>
      </c>
      <c r="I27" s="13"/>
      <c r="J27" s="13"/>
      <c r="K27" s="13">
        <v>1249</v>
      </c>
      <c r="L27" s="13"/>
      <c r="M27" s="21">
        <f t="shared" si="1"/>
        <v>1249</v>
      </c>
      <c r="N27" s="13"/>
      <c r="O27" s="13"/>
      <c r="P27" s="13">
        <v>12100</v>
      </c>
      <c r="Q27" s="14">
        <v>14000</v>
      </c>
      <c r="R27" s="15"/>
    </row>
    <row r="28" spans="1:18" ht="18.75" x14ac:dyDescent="0.25">
      <c r="A28" s="7"/>
      <c r="B28" s="3" t="s">
        <v>50</v>
      </c>
      <c r="C28" s="32" t="s">
        <v>70</v>
      </c>
      <c r="D28" s="13"/>
      <c r="E28" s="13">
        <v>4400</v>
      </c>
      <c r="F28" s="13"/>
      <c r="G28" s="13">
        <v>23240</v>
      </c>
      <c r="H28" s="21">
        <f t="shared" si="0"/>
        <v>27640</v>
      </c>
      <c r="I28" s="13"/>
      <c r="J28" s="13"/>
      <c r="K28" s="13">
        <v>692</v>
      </c>
      <c r="L28" s="13">
        <v>2787</v>
      </c>
      <c r="M28" s="21">
        <f t="shared" si="1"/>
        <v>3479</v>
      </c>
      <c r="N28" s="13"/>
      <c r="O28" s="13">
        <v>10000</v>
      </c>
      <c r="P28" s="13"/>
      <c r="Q28" s="14"/>
      <c r="R28" s="15">
        <v>96</v>
      </c>
    </row>
    <row r="29" spans="1:18" ht="18.75" x14ac:dyDescent="0.25">
      <c r="A29" s="7"/>
      <c r="B29" s="3" t="s">
        <v>62</v>
      </c>
      <c r="C29" s="32"/>
      <c r="D29" s="13">
        <v>184481.6</v>
      </c>
      <c r="E29" s="13"/>
      <c r="F29" s="13"/>
      <c r="G29" s="13"/>
      <c r="H29" s="21">
        <f t="shared" si="0"/>
        <v>184481.6</v>
      </c>
      <c r="I29" s="13"/>
      <c r="J29" s="13"/>
      <c r="K29" s="13">
        <v>2157</v>
      </c>
      <c r="L29" s="13">
        <v>95590</v>
      </c>
      <c r="M29" s="21">
        <f t="shared" si="1"/>
        <v>97747</v>
      </c>
      <c r="N29" s="13"/>
      <c r="O29" s="13"/>
      <c r="P29" s="14">
        <v>99000</v>
      </c>
      <c r="R29" s="15"/>
    </row>
    <row r="30" spans="1:18" x14ac:dyDescent="0.25">
      <c r="A30" s="7">
        <v>18</v>
      </c>
      <c r="B30" s="9" t="s">
        <v>54</v>
      </c>
      <c r="C30" s="32" t="s">
        <v>70</v>
      </c>
      <c r="D30" s="13"/>
      <c r="E30" s="13">
        <v>5958</v>
      </c>
      <c r="F30" s="13">
        <v>5316</v>
      </c>
      <c r="G30" s="13">
        <v>12622</v>
      </c>
      <c r="H30" s="21">
        <f t="shared" si="0"/>
        <v>23896</v>
      </c>
      <c r="I30" s="13"/>
      <c r="J30" s="13">
        <v>34</v>
      </c>
      <c r="K30" s="13"/>
      <c r="L30" s="13">
        <v>1811</v>
      </c>
      <c r="M30" s="21">
        <f t="shared" si="1"/>
        <v>1845</v>
      </c>
      <c r="N30" s="13"/>
      <c r="O30" s="13"/>
      <c r="P30" s="13"/>
      <c r="Q30" s="14"/>
      <c r="R30" s="15">
        <v>781</v>
      </c>
    </row>
    <row r="31" spans="1:18" x14ac:dyDescent="0.25">
      <c r="A31" s="7">
        <v>19</v>
      </c>
      <c r="B31" s="9" t="s">
        <v>55</v>
      </c>
      <c r="C31" s="32" t="s">
        <v>70</v>
      </c>
      <c r="D31" s="13"/>
      <c r="E31" s="13">
        <v>33740</v>
      </c>
      <c r="F31" s="13">
        <v>16404</v>
      </c>
      <c r="G31" s="13">
        <v>42274</v>
      </c>
      <c r="H31" s="21">
        <f t="shared" si="0"/>
        <v>92418</v>
      </c>
      <c r="I31" s="13"/>
      <c r="J31" s="13">
        <v>223</v>
      </c>
      <c r="K31" s="13"/>
      <c r="L31" s="13">
        <v>7605</v>
      </c>
      <c r="M31" s="21">
        <f t="shared" si="1"/>
        <v>7828</v>
      </c>
      <c r="N31" s="13"/>
      <c r="O31" s="13"/>
      <c r="P31" s="13"/>
      <c r="Q31" s="14"/>
      <c r="R31" s="15">
        <v>3010</v>
      </c>
    </row>
    <row r="32" spans="1:18" x14ac:dyDescent="0.25">
      <c r="A32" s="7">
        <v>20</v>
      </c>
      <c r="B32" s="9" t="s">
        <v>56</v>
      </c>
      <c r="C32" s="11"/>
      <c r="D32" s="13">
        <v>137180</v>
      </c>
      <c r="E32" s="13"/>
      <c r="F32" s="13"/>
      <c r="G32" s="13"/>
      <c r="H32" s="21">
        <f t="shared" si="0"/>
        <v>137180</v>
      </c>
      <c r="I32" s="13"/>
      <c r="J32" s="8">
        <v>793</v>
      </c>
      <c r="K32" s="13">
        <v>3485</v>
      </c>
      <c r="L32" s="13">
        <v>55816</v>
      </c>
      <c r="M32" s="21">
        <f t="shared" si="1"/>
        <v>60094</v>
      </c>
      <c r="N32" s="13"/>
      <c r="O32" s="13"/>
      <c r="P32" s="13">
        <v>190300</v>
      </c>
      <c r="Q32" s="14"/>
      <c r="R32" s="15"/>
    </row>
    <row r="33" spans="1:19" x14ac:dyDescent="0.25">
      <c r="A33" s="7"/>
      <c r="B33" s="9" t="s">
        <v>57</v>
      </c>
      <c r="C33" s="11" t="s">
        <v>71</v>
      </c>
      <c r="D33" s="13"/>
      <c r="E33" s="13">
        <v>6828</v>
      </c>
      <c r="F33" s="13"/>
      <c r="G33" s="13">
        <v>30994</v>
      </c>
      <c r="H33" s="21">
        <f t="shared" si="0"/>
        <v>37822</v>
      </c>
      <c r="I33" s="13"/>
      <c r="K33" s="13">
        <v>114</v>
      </c>
      <c r="L33" s="13">
        <v>3792</v>
      </c>
      <c r="M33" s="21">
        <f t="shared" si="1"/>
        <v>3906</v>
      </c>
      <c r="N33" s="13"/>
      <c r="O33" s="13"/>
      <c r="P33" s="13"/>
      <c r="Q33" s="14"/>
      <c r="R33" s="15">
        <v>1264</v>
      </c>
    </row>
    <row r="34" spans="1:19" x14ac:dyDescent="0.25">
      <c r="A34" s="7"/>
      <c r="B34" s="9" t="s">
        <v>58</v>
      </c>
      <c r="C34" s="11"/>
      <c r="D34" s="13"/>
      <c r="E34" s="13"/>
      <c r="F34" s="13"/>
      <c r="G34" s="13"/>
      <c r="H34" s="21">
        <v>980470</v>
      </c>
      <c r="I34" s="13"/>
      <c r="K34" s="13"/>
      <c r="L34" s="13"/>
      <c r="M34" s="21">
        <v>135975</v>
      </c>
      <c r="N34" s="13"/>
      <c r="O34" s="13"/>
      <c r="P34" s="13">
        <v>148650</v>
      </c>
      <c r="Q34" s="14"/>
      <c r="R34" s="15">
        <v>10923</v>
      </c>
    </row>
    <row r="35" spans="1:19" x14ac:dyDescent="0.25">
      <c r="A35" s="7"/>
      <c r="B35" s="9" t="s">
        <v>59</v>
      </c>
      <c r="C35" s="11"/>
      <c r="D35" s="13"/>
      <c r="E35" s="13">
        <v>195386</v>
      </c>
      <c r="F35" s="13">
        <v>21774</v>
      </c>
      <c r="G35" s="13">
        <v>421866</v>
      </c>
      <c r="H35" s="21">
        <f t="shared" si="0"/>
        <v>639026</v>
      </c>
      <c r="I35" s="13"/>
      <c r="K35" s="13">
        <v>5082</v>
      </c>
      <c r="L35" s="13">
        <v>50698</v>
      </c>
      <c r="M35" s="21">
        <f t="shared" si="1"/>
        <v>55780</v>
      </c>
      <c r="N35" s="13"/>
      <c r="O35" s="13">
        <v>139500</v>
      </c>
      <c r="P35" s="13">
        <v>250</v>
      </c>
      <c r="Q35" s="14"/>
      <c r="R35" s="15">
        <v>15555</v>
      </c>
    </row>
    <row r="36" spans="1:19" x14ac:dyDescent="0.25">
      <c r="A36" s="7"/>
      <c r="B36" s="9"/>
      <c r="C36" s="11"/>
      <c r="D36" s="13"/>
      <c r="E36" s="13"/>
      <c r="F36" s="13"/>
      <c r="G36" s="13"/>
      <c r="H36" s="21"/>
      <c r="I36" s="13"/>
      <c r="K36" s="13"/>
      <c r="L36" s="13"/>
      <c r="M36" s="21"/>
      <c r="N36" s="13"/>
      <c r="O36" s="13"/>
      <c r="P36" s="13"/>
      <c r="Q36" s="14"/>
      <c r="R36" s="15"/>
    </row>
    <row r="37" spans="1:19" x14ac:dyDescent="0.25">
      <c r="A37" s="7"/>
      <c r="B37" s="9"/>
      <c r="C37" s="11"/>
      <c r="D37" s="13"/>
      <c r="E37" s="13"/>
      <c r="F37" s="13"/>
      <c r="G37" s="13"/>
      <c r="H37" s="21"/>
      <c r="I37" s="13"/>
      <c r="K37" s="13"/>
      <c r="L37" s="13"/>
      <c r="M37" s="21"/>
      <c r="N37" s="13"/>
      <c r="O37" s="13"/>
      <c r="P37" s="13"/>
      <c r="Q37" s="14"/>
      <c r="R37" s="15"/>
    </row>
    <row r="38" spans="1:19" x14ac:dyDescent="0.25">
      <c r="A38" s="7"/>
      <c r="B38" s="9"/>
      <c r="C38" s="11"/>
      <c r="D38" s="13"/>
      <c r="E38" s="13"/>
      <c r="F38" s="13"/>
      <c r="G38" s="13"/>
      <c r="H38" s="21">
        <f t="shared" si="0"/>
        <v>0</v>
      </c>
      <c r="I38" s="13"/>
      <c r="K38" s="13"/>
      <c r="L38" s="13"/>
      <c r="M38" s="21">
        <f t="shared" si="1"/>
        <v>0</v>
      </c>
      <c r="N38" s="13"/>
      <c r="O38" s="13"/>
      <c r="P38" s="13"/>
      <c r="Q38" s="14"/>
      <c r="R38" s="15"/>
    </row>
    <row r="39" spans="1:19" x14ac:dyDescent="0.25">
      <c r="A39" s="7">
        <v>21</v>
      </c>
      <c r="B39" s="9"/>
      <c r="C39" s="11"/>
      <c r="D39" s="13"/>
      <c r="E39" s="13"/>
      <c r="F39" s="13"/>
      <c r="G39" s="13"/>
      <c r="H39" s="21">
        <f t="shared" si="0"/>
        <v>0</v>
      </c>
      <c r="I39" s="13"/>
      <c r="J39" s="13"/>
      <c r="K39" s="13"/>
      <c r="L39" s="13"/>
      <c r="M39" s="21">
        <f t="shared" si="1"/>
        <v>0</v>
      </c>
      <c r="N39" s="13"/>
      <c r="O39" s="13"/>
      <c r="P39" s="13"/>
      <c r="Q39" s="14"/>
      <c r="R39" s="15"/>
    </row>
    <row r="40" spans="1:19" s="29" customFormat="1" x14ac:dyDescent="0.25">
      <c r="A40" s="10" t="s">
        <v>8</v>
      </c>
      <c r="B40" s="26"/>
      <c r="C40" s="12"/>
      <c r="D40" s="27">
        <f t="shared" ref="D40:R40" si="2">SUM(D5:D39)</f>
        <v>351679.6</v>
      </c>
      <c r="E40" s="27">
        <f t="shared" si="2"/>
        <v>294178</v>
      </c>
      <c r="F40" s="27">
        <f t="shared" si="2"/>
        <v>52686</v>
      </c>
      <c r="G40" s="27">
        <f t="shared" si="2"/>
        <v>650679</v>
      </c>
      <c r="H40" s="28">
        <f t="shared" si="2"/>
        <v>2369628.6</v>
      </c>
      <c r="I40" s="27">
        <f t="shared" si="2"/>
        <v>0</v>
      </c>
      <c r="J40" s="27">
        <f t="shared" si="2"/>
        <v>27011</v>
      </c>
      <c r="K40" s="27">
        <f t="shared" si="2"/>
        <v>26313</v>
      </c>
      <c r="L40" s="27">
        <f t="shared" si="2"/>
        <v>241113</v>
      </c>
      <c r="M40" s="28">
        <f t="shared" si="2"/>
        <v>446888</v>
      </c>
      <c r="N40" s="27">
        <f t="shared" si="2"/>
        <v>0</v>
      </c>
      <c r="O40" s="27">
        <f t="shared" si="2"/>
        <v>149500</v>
      </c>
      <c r="P40" s="27">
        <f t="shared" si="2"/>
        <v>514180</v>
      </c>
      <c r="Q40" s="27">
        <f t="shared" si="2"/>
        <v>14000</v>
      </c>
      <c r="R40" s="27">
        <f t="shared" si="2"/>
        <v>35972</v>
      </c>
    </row>
    <row r="46" spans="1:19" ht="18.75" x14ac:dyDescent="0.25">
      <c r="B46" s="3" t="s">
        <v>62</v>
      </c>
      <c r="C46" s="11" t="s">
        <v>65</v>
      </c>
      <c r="D46" s="13"/>
      <c r="E46" s="13"/>
      <c r="F46" s="13"/>
      <c r="G46" s="13"/>
      <c r="H46" s="21">
        <v>65821.2</v>
      </c>
      <c r="I46" s="13"/>
      <c r="J46" s="13"/>
      <c r="K46" s="13"/>
      <c r="L46" s="13"/>
      <c r="M46" s="21">
        <v>35697</v>
      </c>
      <c r="N46" s="13"/>
      <c r="O46" s="13"/>
      <c r="P46" s="14">
        <v>41200</v>
      </c>
      <c r="R46" s="15"/>
      <c r="S46" s="8" t="s">
        <v>58</v>
      </c>
    </row>
    <row r="47" spans="1:19" x14ac:dyDescent="0.25">
      <c r="B47" s="9"/>
      <c r="C47" s="11"/>
      <c r="D47" s="13"/>
      <c r="E47" s="13"/>
      <c r="F47" s="13"/>
      <c r="G47" s="13"/>
      <c r="H47" s="21">
        <v>119080.8</v>
      </c>
      <c r="I47" s="13"/>
      <c r="K47" s="13">
        <v>1471</v>
      </c>
      <c r="L47" s="13">
        <v>60746</v>
      </c>
      <c r="M47" s="21">
        <f>SUM(J47:L47)</f>
        <v>62217</v>
      </c>
      <c r="N47" s="13"/>
      <c r="O47" s="13">
        <v>114500</v>
      </c>
      <c r="P47" s="13">
        <v>58000</v>
      </c>
      <c r="Q47" s="14"/>
      <c r="R47" s="15"/>
      <c r="S47" s="8" t="s">
        <v>59</v>
      </c>
    </row>
    <row r="48" spans="1:19" s="29" customFormat="1" x14ac:dyDescent="0.25">
      <c r="B48" s="49"/>
      <c r="C48" s="12"/>
      <c r="D48" s="50"/>
      <c r="E48" s="50"/>
      <c r="F48" s="50"/>
      <c r="G48" s="50"/>
      <c r="H48" s="51">
        <f>SUM(H46:H47)</f>
        <v>184902</v>
      </c>
      <c r="I48" s="50"/>
      <c r="K48" s="50"/>
      <c r="L48" s="50"/>
      <c r="M48" s="51">
        <f>SUM(M46:M47)</f>
        <v>97914</v>
      </c>
      <c r="N48" s="50"/>
      <c r="O48" s="50"/>
      <c r="P48" s="50"/>
      <c r="Q48" s="52"/>
      <c r="R48" s="53"/>
    </row>
    <row r="49" spans="2:19" x14ac:dyDescent="0.25">
      <c r="B49" s="9"/>
      <c r="C49" s="11"/>
      <c r="D49" s="13"/>
      <c r="E49" s="13"/>
      <c r="F49" s="13"/>
      <c r="G49" s="13"/>
      <c r="H49" s="21"/>
      <c r="I49" s="13"/>
      <c r="K49" s="13"/>
      <c r="L49" s="13"/>
      <c r="M49" s="21"/>
      <c r="N49" s="13"/>
      <c r="O49" s="13"/>
      <c r="P49" s="13"/>
      <c r="Q49" s="14"/>
      <c r="R49" s="15"/>
    </row>
    <row r="50" spans="2:19" x14ac:dyDescent="0.25">
      <c r="B50" s="9"/>
      <c r="C50" s="11"/>
      <c r="D50" s="13"/>
      <c r="E50" s="13"/>
      <c r="F50" s="13"/>
      <c r="G50" s="13"/>
      <c r="H50" s="21"/>
      <c r="I50" s="13"/>
      <c r="K50" s="13"/>
      <c r="L50" s="13"/>
      <c r="M50" s="21"/>
      <c r="N50" s="13"/>
      <c r="O50" s="13"/>
      <c r="P50" s="13"/>
      <c r="Q50" s="14"/>
      <c r="R50" s="15"/>
    </row>
    <row r="51" spans="2:19" x14ac:dyDescent="0.25">
      <c r="B51" s="9"/>
      <c r="C51" s="11"/>
      <c r="D51" s="13"/>
      <c r="E51" s="13"/>
      <c r="F51" s="13"/>
      <c r="G51" s="13"/>
      <c r="H51" s="21"/>
      <c r="I51" s="13"/>
      <c r="K51" s="13"/>
      <c r="L51" s="13"/>
      <c r="M51" s="21"/>
      <c r="N51" s="13"/>
      <c r="O51" s="13"/>
      <c r="P51" s="13"/>
      <c r="Q51" s="14"/>
      <c r="R51" s="15"/>
    </row>
    <row r="52" spans="2:19" x14ac:dyDescent="0.25">
      <c r="B52" s="9"/>
      <c r="C52" s="11"/>
      <c r="D52" s="13"/>
      <c r="E52" s="13"/>
      <c r="F52" s="13"/>
      <c r="G52" s="13"/>
      <c r="H52" s="21"/>
      <c r="I52" s="13"/>
      <c r="K52" s="13"/>
      <c r="L52" s="13"/>
      <c r="M52" s="21"/>
      <c r="N52" s="13"/>
      <c r="O52" s="13"/>
      <c r="P52" s="13"/>
      <c r="Q52" s="14"/>
      <c r="R52" s="15"/>
    </row>
    <row r="53" spans="2:19" x14ac:dyDescent="0.25">
      <c r="B53" s="9" t="s">
        <v>56</v>
      </c>
      <c r="C53" s="11" t="s">
        <v>65</v>
      </c>
      <c r="D53" s="13"/>
      <c r="E53" s="13"/>
      <c r="F53" s="13"/>
      <c r="G53" s="13"/>
      <c r="H53" s="21">
        <v>61946</v>
      </c>
      <c r="I53" s="13"/>
      <c r="K53" s="13"/>
      <c r="L53" s="13"/>
      <c r="M53" s="21">
        <v>26578</v>
      </c>
      <c r="N53" s="13"/>
      <c r="O53" s="13"/>
      <c r="P53" s="13">
        <v>93250</v>
      </c>
      <c r="Q53" s="14"/>
      <c r="R53" s="15"/>
      <c r="S53" s="8" t="s">
        <v>58</v>
      </c>
    </row>
    <row r="54" spans="2:19" x14ac:dyDescent="0.25">
      <c r="B54" s="9"/>
      <c r="C54" s="11"/>
      <c r="D54" s="13"/>
      <c r="E54" s="13"/>
      <c r="F54" s="13"/>
      <c r="G54" s="13"/>
      <c r="H54" s="21">
        <v>75234</v>
      </c>
      <c r="I54" s="13"/>
      <c r="J54" s="13">
        <v>448</v>
      </c>
      <c r="K54" s="13">
        <v>1711</v>
      </c>
      <c r="L54" s="13">
        <v>31355</v>
      </c>
      <c r="M54" s="21">
        <f>SUM(I54:L54)</f>
        <v>33514</v>
      </c>
      <c r="N54" s="13"/>
      <c r="O54" s="13"/>
      <c r="P54" s="13">
        <v>97050</v>
      </c>
      <c r="Q54" s="14"/>
      <c r="R54" s="15"/>
      <c r="S54" s="8" t="s">
        <v>59</v>
      </c>
    </row>
    <row r="55" spans="2:19" s="29" customFormat="1" x14ac:dyDescent="0.25">
      <c r="B55" s="26"/>
      <c r="C55" s="12"/>
      <c r="D55" s="27"/>
      <c r="E55" s="27"/>
      <c r="F55" s="27"/>
      <c r="G55" s="27"/>
      <c r="H55" s="28">
        <f>SUM(H53:H54)</f>
        <v>137180</v>
      </c>
      <c r="I55" s="27"/>
      <c r="J55" s="27"/>
      <c r="K55" s="27"/>
      <c r="L55" s="27"/>
      <c r="M55" s="28">
        <f>SUM(M53:M54)</f>
        <v>60092</v>
      </c>
      <c r="N55" s="27"/>
      <c r="O55" s="27"/>
      <c r="P55" s="27"/>
      <c r="Q55" s="27"/>
      <c r="R55" s="27"/>
    </row>
    <row r="58" spans="2:19" x14ac:dyDescent="0.25">
      <c r="B58" s="72" t="s">
        <v>25</v>
      </c>
      <c r="C58" s="71" t="s">
        <v>1</v>
      </c>
      <c r="D58" s="71" t="s">
        <v>2</v>
      </c>
      <c r="E58" s="71"/>
      <c r="F58" s="71"/>
      <c r="G58" s="71"/>
      <c r="H58" s="71"/>
      <c r="I58" s="71" t="s">
        <v>3</v>
      </c>
      <c r="J58" s="71"/>
      <c r="K58" s="71"/>
      <c r="L58" s="71"/>
      <c r="M58" s="71"/>
      <c r="N58" s="71" t="s">
        <v>14</v>
      </c>
      <c r="O58" s="74" t="s">
        <v>26</v>
      </c>
      <c r="P58" s="71" t="s">
        <v>13</v>
      </c>
      <c r="Q58" s="71" t="s">
        <v>15</v>
      </c>
      <c r="R58" s="72" t="s">
        <v>24</v>
      </c>
    </row>
    <row r="59" spans="2:19" ht="94.5" x14ac:dyDescent="0.25">
      <c r="B59" s="73"/>
      <c r="C59" s="71"/>
      <c r="D59" s="10" t="s">
        <v>4</v>
      </c>
      <c r="E59" s="10" t="s">
        <v>5</v>
      </c>
      <c r="F59" s="10" t="s">
        <v>6</v>
      </c>
      <c r="G59" s="10" t="s">
        <v>7</v>
      </c>
      <c r="H59" s="20" t="s">
        <v>8</v>
      </c>
      <c r="I59" s="10" t="s">
        <v>9</v>
      </c>
      <c r="J59" s="10" t="s">
        <v>10</v>
      </c>
      <c r="K59" s="10" t="s">
        <v>11</v>
      </c>
      <c r="L59" s="10" t="s">
        <v>12</v>
      </c>
      <c r="M59" s="20" t="s">
        <v>8</v>
      </c>
      <c r="N59" s="71"/>
      <c r="O59" s="75"/>
      <c r="P59" s="71"/>
      <c r="Q59" s="76"/>
      <c r="R59" s="73"/>
    </row>
    <row r="60" spans="2:19" ht="18.75" x14ac:dyDescent="0.25">
      <c r="B60" s="3" t="s">
        <v>66</v>
      </c>
      <c r="C60" s="11"/>
      <c r="H60" s="21">
        <v>202301.2</v>
      </c>
      <c r="I60" s="13"/>
      <c r="M60" s="21">
        <v>111349</v>
      </c>
      <c r="N60" s="13"/>
      <c r="P60" s="13">
        <v>195700</v>
      </c>
      <c r="R60" s="15">
        <v>243</v>
      </c>
    </row>
    <row r="61" spans="2:19" ht="18.75" x14ac:dyDescent="0.25">
      <c r="B61" s="3" t="s">
        <v>67</v>
      </c>
      <c r="C61" s="11"/>
      <c r="D61" s="13"/>
      <c r="E61" s="13"/>
      <c r="F61" s="13"/>
      <c r="G61" s="13"/>
      <c r="H61" s="21">
        <v>980470</v>
      </c>
      <c r="I61" s="13"/>
      <c r="J61" s="13"/>
      <c r="K61" s="13"/>
      <c r="L61" s="13"/>
      <c r="M61" s="21">
        <v>135975</v>
      </c>
      <c r="N61" s="13"/>
      <c r="O61" s="13"/>
      <c r="P61" s="13">
        <v>148650</v>
      </c>
      <c r="Q61" s="14"/>
      <c r="R61" s="15">
        <v>10923</v>
      </c>
    </row>
    <row r="62" spans="2:19" ht="18.75" x14ac:dyDescent="0.25">
      <c r="B62" s="3" t="s">
        <v>68</v>
      </c>
      <c r="C62" s="11"/>
      <c r="D62" s="13">
        <v>134112.9</v>
      </c>
      <c r="E62" s="13">
        <v>375904</v>
      </c>
      <c r="F62" s="13">
        <v>7896</v>
      </c>
      <c r="G62" s="13">
        <v>126335</v>
      </c>
      <c r="H62" s="21">
        <f t="shared" ref="H62:H66" si="3">SUM(D62:G62)</f>
        <v>644247.9</v>
      </c>
      <c r="I62" s="13"/>
      <c r="J62" s="13">
        <v>27526</v>
      </c>
      <c r="K62" s="13">
        <v>13233</v>
      </c>
      <c r="L62" s="13">
        <v>133352</v>
      </c>
      <c r="M62" s="21">
        <f>SUM(I62:L62)</f>
        <v>174111</v>
      </c>
      <c r="N62" s="13"/>
      <c r="O62" s="13">
        <v>523500</v>
      </c>
      <c r="P62" s="13">
        <v>188050</v>
      </c>
      <c r="Q62" s="14"/>
      <c r="R62" s="15">
        <v>17884</v>
      </c>
    </row>
    <row r="63" spans="2:19" ht="18.75" x14ac:dyDescent="0.25">
      <c r="B63" s="55" t="s">
        <v>69</v>
      </c>
      <c r="C63" s="11"/>
      <c r="D63" s="13"/>
      <c r="E63" s="13">
        <v>195386</v>
      </c>
      <c r="F63" s="13">
        <v>21774</v>
      </c>
      <c r="G63" s="13">
        <v>421866</v>
      </c>
      <c r="H63" s="21">
        <f t="shared" si="3"/>
        <v>639026</v>
      </c>
      <c r="I63" s="13"/>
      <c r="J63" s="13"/>
      <c r="K63" s="13">
        <v>5082</v>
      </c>
      <c r="L63" s="13">
        <v>50698</v>
      </c>
      <c r="M63" s="21">
        <f t="shared" ref="M63:M66" si="4">SUM(I63:L63)</f>
        <v>55780</v>
      </c>
      <c r="N63" s="13"/>
      <c r="O63" s="13">
        <v>139500</v>
      </c>
      <c r="P63" s="13">
        <v>250</v>
      </c>
      <c r="Q63" s="16"/>
      <c r="R63" s="15">
        <v>15555</v>
      </c>
    </row>
    <row r="64" spans="2:19" ht="18.75" x14ac:dyDescent="0.25">
      <c r="B64" s="3"/>
      <c r="C64" s="11"/>
      <c r="D64" s="13"/>
      <c r="E64" s="19"/>
      <c r="F64" s="13"/>
      <c r="G64" s="13"/>
      <c r="H64" s="21">
        <f t="shared" si="3"/>
        <v>0</v>
      </c>
      <c r="I64" s="13"/>
      <c r="J64" s="13"/>
      <c r="K64" s="13"/>
      <c r="L64" s="13"/>
      <c r="M64" s="21">
        <f t="shared" si="4"/>
        <v>0</v>
      </c>
      <c r="N64" s="13"/>
      <c r="O64" s="13"/>
      <c r="P64" s="13"/>
      <c r="Q64" s="14"/>
      <c r="R64" s="15"/>
    </row>
    <row r="65" spans="2:18" ht="18.75" x14ac:dyDescent="0.25">
      <c r="B65" s="24"/>
      <c r="C65" s="11"/>
      <c r="D65" s="13"/>
      <c r="E65" s="19"/>
      <c r="F65" s="13"/>
      <c r="G65" s="13"/>
      <c r="H65" s="21">
        <f t="shared" si="3"/>
        <v>0</v>
      </c>
      <c r="I65" s="13"/>
      <c r="J65" s="13"/>
      <c r="K65" s="13"/>
      <c r="L65" s="13"/>
      <c r="M65" s="21">
        <f t="shared" si="4"/>
        <v>0</v>
      </c>
      <c r="N65" s="13"/>
      <c r="O65" s="13"/>
      <c r="P65" s="13"/>
      <c r="Q65" s="14"/>
      <c r="R65" s="15"/>
    </row>
    <row r="66" spans="2:18" ht="18.75" x14ac:dyDescent="0.25">
      <c r="B66" s="3"/>
      <c r="C66" s="11"/>
      <c r="D66" s="13"/>
      <c r="E66" s="13"/>
      <c r="F66" s="13"/>
      <c r="G66" s="13"/>
      <c r="H66" s="21">
        <f t="shared" si="3"/>
        <v>0</v>
      </c>
      <c r="I66" s="13"/>
      <c r="J66" s="13"/>
      <c r="K66" s="13"/>
      <c r="L66" s="13"/>
      <c r="M66" s="21">
        <f t="shared" si="4"/>
        <v>0</v>
      </c>
      <c r="N66" s="13"/>
      <c r="O66" s="13"/>
      <c r="P66" s="13"/>
      <c r="Q66" s="14"/>
      <c r="R66" s="15"/>
    </row>
    <row r="67" spans="2:18" s="29" customFormat="1" x14ac:dyDescent="0.25">
      <c r="B67" s="54" t="s">
        <v>8</v>
      </c>
      <c r="C67" s="54"/>
      <c r="D67" s="27">
        <f>SUM(D61:D66)</f>
        <v>134112.9</v>
      </c>
      <c r="E67" s="27">
        <f>SUM(E61:E66)</f>
        <v>571290</v>
      </c>
      <c r="F67" s="27">
        <f>SUM(F61:F66)</f>
        <v>29670</v>
      </c>
      <c r="G67" s="27">
        <f>SUM(G61:G66)</f>
        <v>548201</v>
      </c>
      <c r="H67" s="27">
        <f t="shared" ref="H67:N67" si="5">SUM(H60:H66)</f>
        <v>2466045.1</v>
      </c>
      <c r="I67" s="27">
        <f t="shared" si="5"/>
        <v>0</v>
      </c>
      <c r="J67" s="27">
        <f>SUM(J61:J66)</f>
        <v>27526</v>
      </c>
      <c r="K67" s="27">
        <f>SUM(K61:K66)</f>
        <v>18315</v>
      </c>
      <c r="L67" s="27">
        <f>SUM(L61:L66)</f>
        <v>184050</v>
      </c>
      <c r="M67" s="27">
        <f t="shared" si="5"/>
        <v>477215</v>
      </c>
      <c r="N67" s="27">
        <f t="shared" si="5"/>
        <v>0</v>
      </c>
      <c r="O67" s="27">
        <f>SUM(O61:O66)</f>
        <v>663000</v>
      </c>
      <c r="P67" s="27">
        <f>SUM(P60:P66)</f>
        <v>532650</v>
      </c>
      <c r="Q67" s="27">
        <f>SUM(Q61:Q66)</f>
        <v>0</v>
      </c>
      <c r="R67" s="27">
        <f>SUM(R61:R66)</f>
        <v>44362</v>
      </c>
    </row>
  </sheetData>
  <mergeCells count="19">
    <mergeCell ref="O58:O59"/>
    <mergeCell ref="P58:P59"/>
    <mergeCell ref="Q58:Q59"/>
    <mergeCell ref="R58:R59"/>
    <mergeCell ref="B58:B59"/>
    <mergeCell ref="C58:C59"/>
    <mergeCell ref="D58:H58"/>
    <mergeCell ref="I58:M58"/>
    <mergeCell ref="N58:N59"/>
    <mergeCell ref="N3:N4"/>
    <mergeCell ref="O3:O4"/>
    <mergeCell ref="P3:P4"/>
    <mergeCell ref="Q3:Q4"/>
    <mergeCell ref="R3:R4"/>
    <mergeCell ref="A3:A4"/>
    <mergeCell ref="B3:B4"/>
    <mergeCell ref="C3:C4"/>
    <mergeCell ref="D3:H3"/>
    <mergeCell ref="I3:M3"/>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Số lượng GP</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Vinh Tran</dc:creator>
  <cp:lastModifiedBy>User</cp:lastModifiedBy>
  <dcterms:created xsi:type="dcterms:W3CDTF">2025-01-14T11:42:57Z</dcterms:created>
  <dcterms:modified xsi:type="dcterms:W3CDTF">2026-09-21T08:05:24Z</dcterms:modified>
</cp:coreProperties>
</file>